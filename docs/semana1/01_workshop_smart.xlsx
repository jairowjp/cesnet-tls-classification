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respaldos_windows11pro_vm\!! Archivos_2025\!!   Maestría UEES Inteligencia Artificial\Materias\10 Proyecto integrador\semana1 - entrega 1\"/>
    </mc:Choice>
  </mc:AlternateContent>
  <xr:revisionPtr revIDLastSave="0" documentId="8_{BD400814-6802-4020-AB94-23C8197F2E16}" xr6:coauthVersionLast="47" xr6:coauthVersionMax="47" xr10:uidLastSave="{00000000-0000-0000-0000-000000000000}"/>
  <bookViews>
    <workbookView xWindow="-120" yWindow="-120" windowWidth="20730" windowHeight="11040" tabRatio="500" activeTab="4" xr2:uid="{00000000-000D-0000-FFFF-FFFF00000000}"/>
  </bookViews>
  <sheets>
    <sheet name="Matriz" sheetId="1" r:id="rId1"/>
    <sheet name="Justificaciones" sheetId="2" r:id="rId2"/>
    <sheet name="Canvas SMART" sheetId="3" r:id="rId3"/>
    <sheet name="Checklist P1" sheetId="4" r:id="rId4"/>
    <sheet name="Refinamiento P1" sheetId="5" r:id="rId5"/>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F103" i="4" l="1"/>
  <c r="D91" i="4"/>
  <c r="D102" i="4" s="1"/>
  <c r="E90" i="4"/>
  <c r="E91" i="4" s="1"/>
  <c r="E102" i="4" s="1"/>
  <c r="D90" i="4"/>
  <c r="D71" i="4"/>
  <c r="D101" i="4" s="1"/>
  <c r="E70" i="4"/>
  <c r="E71" i="4" s="1"/>
  <c r="E101" i="4" s="1"/>
  <c r="D70" i="4"/>
  <c r="D52" i="4"/>
  <c r="D100" i="4" s="1"/>
  <c r="E51" i="4"/>
  <c r="E52" i="4" s="1"/>
  <c r="E100" i="4" s="1"/>
  <c r="D51" i="4"/>
  <c r="D33" i="4"/>
  <c r="D99" i="4" s="1"/>
  <c r="E32" i="4"/>
  <c r="E33" i="4" s="1"/>
  <c r="E99" i="4" s="1"/>
  <c r="D32" i="4"/>
  <c r="D17" i="4"/>
  <c r="D98" i="4" s="1"/>
  <c r="E16" i="4"/>
  <c r="E17" i="4" s="1"/>
  <c r="E98" i="4" s="1"/>
  <c r="D16" i="4"/>
  <c r="F18" i="2"/>
  <c r="C18" i="2"/>
  <c r="F17" i="2"/>
  <c r="C17" i="2"/>
  <c r="F16" i="2"/>
  <c r="C16" i="2"/>
  <c r="F15" i="2"/>
  <c r="C15" i="2"/>
  <c r="F14" i="2"/>
  <c r="C14" i="2"/>
  <c r="F13" i="2"/>
  <c r="C13" i="2"/>
  <c r="F12" i="2"/>
  <c r="C12" i="2"/>
  <c r="F11" i="2"/>
  <c r="C11" i="2"/>
  <c r="F10" i="2"/>
  <c r="C10" i="2"/>
  <c r="F9" i="2"/>
  <c r="C9" i="2"/>
  <c r="F8" i="2"/>
  <c r="C8" i="2"/>
  <c r="F7" i="2"/>
  <c r="C7" i="2"/>
  <c r="F6" i="2"/>
  <c r="C6" i="2"/>
  <c r="F5" i="2"/>
  <c r="C5" i="2"/>
  <c r="F4" i="2"/>
  <c r="C4" i="2"/>
  <c r="E22" i="1"/>
  <c r="D22" i="1"/>
  <c r="C22" i="1"/>
  <c r="B22" i="1"/>
  <c r="A22" i="1"/>
  <c r="E21" i="1"/>
  <c r="D21" i="1"/>
  <c r="C21" i="1"/>
  <c r="B21" i="1"/>
  <c r="A21" i="1"/>
  <c r="E20" i="1"/>
  <c r="D20" i="1"/>
  <c r="C20" i="1"/>
  <c r="B20" i="1"/>
  <c r="A20" i="1"/>
  <c r="E19" i="1"/>
  <c r="D19" i="1"/>
  <c r="C19" i="1"/>
  <c r="B19" i="1"/>
  <c r="A19" i="1"/>
  <c r="E18" i="1"/>
  <c r="E23" i="1" s="1"/>
  <c r="D18" i="1"/>
  <c r="D23" i="1" s="1"/>
  <c r="C18" i="1"/>
  <c r="C23" i="1" s="1"/>
  <c r="B18" i="1"/>
  <c r="B23" i="1" s="1"/>
  <c r="A18" i="1"/>
  <c r="B12" i="1"/>
  <c r="E10" i="1"/>
  <c r="D10" i="1"/>
  <c r="D11" i="1" s="1"/>
  <c r="C10" i="1"/>
  <c r="C11" i="1" s="1"/>
  <c r="B10" i="1"/>
  <c r="B14" i="1" s="1"/>
  <c r="E103" i="4" l="1"/>
  <c r="D103" i="4"/>
  <c r="D104" i="4" s="1"/>
  <c r="B11" i="1"/>
  <c r="C12" i="1"/>
  <c r="D12" i="1"/>
  <c r="E105" i="4" l="1"/>
  <c r="E106" i="4" s="1"/>
  <c r="E104" i="4"/>
</calcChain>
</file>

<file path=xl/sharedStrings.xml><?xml version="1.0" encoding="utf-8"?>
<sst xmlns="http://schemas.openxmlformats.org/spreadsheetml/2006/main" count="770" uniqueCount="535">
  <si>
    <t>MATRIZ DE EVALUACIÓN DE PROBLEMAS — METODOLOGÍA SMART</t>
  </si>
  <si>
    <t>Proyecto Integrador en Inteligencia Artificial · Jairo Wladimir Jhayya Perlaza · Escala: 1 = Muy bajo, 5 = Excelente · Puntajes en azul = valores asignados; en negro = fórmulas</t>
  </si>
  <si>
    <t>Criterio de evaluación</t>
  </si>
  <si>
    <t>Problema 1
Ciberseguridad
(tráfico de red cifrado)</t>
  </si>
  <si>
    <t>Problema 2
Agricultura
(plagas en cultivos)</t>
  </si>
  <si>
    <t>Problema 3
Finanzas
(fraude transaccional)</t>
  </si>
  <si>
    <t>Peso</t>
  </si>
  <si>
    <t>ESPECÍFICO (1-5)</t>
  </si>
  <si>
    <t>MEDIBLE (1-5)</t>
  </si>
  <si>
    <t>ALCANZABLE (1-5)</t>
  </si>
  <si>
    <t>RELEVANTE (1-5)</t>
  </si>
  <si>
    <t>TEMPORAL (1-5)</t>
  </si>
  <si>
    <t>TOTAL PONDERADO (sobre 5)</t>
  </si>
  <si>
    <t>Porcentaje de cumplimiento</t>
  </si>
  <si>
    <t>Posición en el ranking</t>
  </si>
  <si>
    <t>PROBLEMA SELECCIONADO</t>
  </si>
  <si>
    <t>CONTRIBUCIÓN PONDERADA POR CRITERIO (puntaje × peso)</t>
  </si>
  <si>
    <t>Criterio</t>
  </si>
  <si>
    <t>Problema 1</t>
  </si>
  <si>
    <t>Problema 2</t>
  </si>
  <si>
    <t>Problema 3</t>
  </si>
  <si>
    <t>Suma (verificación = total ponderado)</t>
  </si>
  <si>
    <t>Nota metodológica: los puntajes evalúan los problemas tal como fueron publicados en el foro académico. El criterio TEMPORAL se valoró considerando el horizonte efectivo del proyecto integrador (6 semanas, según la consigna del foro), más exigente que las 16 semanas de referencia del instructivo. Los puntajes se apoyaron en el Canvas SMART (hoja «Canvas SMART») y sus justificaciones y evidencias están en la hoja «Justificaciones».</t>
  </si>
  <si>
    <t>JUSTIFICACIÓN Y EVIDENCIA DE CADA PUNTAJE</t>
  </si>
  <si>
    <t>Problema</t>
  </si>
  <si>
    <t>Puntaje</t>
  </si>
  <si>
    <t>Justificación (50-80 palabras)</t>
  </si>
  <si>
    <t>Evidencia del foro académico</t>
  </si>
  <si>
    <t>Nº palabras</t>
  </si>
  <si>
    <t>Campo del Canvas SMART de apoyo</t>
  </si>
  <si>
    <t>ESPECÍFICO</t>
  </si>
  <si>
    <t>P1 — Ciberseguridad</t>
  </si>
  <si>
    <t>El problema está bien delimitado en su contexto: tráfico cifrado con TLS 1.3 y QUIC que inutiliza la inspección profunda de paquetes, y nombra stakeholders concretos (empresas, proveedores de Internet y equipos de seguridad). Pierde un punto porque mezcla dos tareas distintas —clasificación de tráfico y detección de intrusiones— y dos datasets de naturaleza diferente (CIC-IDS2017 y CESNET-TLS22), lo que deja ambiguo el objetivo concreto del proyecto.</t>
  </si>
  <si>
    <t>Foro, Problema 1: «La clasificación de tráfico de red cifrado para detección de intrusiones» y «entrenado sobre datasets públicos como CIC-IDS2017 o CESNET-TLS22».</t>
  </si>
  <si>
    <t>Canvas S: qué construir, tipo de solución IA, funcionalidades y usuarios</t>
  </si>
  <si>
    <t>P2 — Agricultura</t>
  </si>
  <si>
    <t>Define con claridad el problema (detección tardía de plagas), los afectados (pequeños y medianos productores) y los cultivos de interés (banano, cacao y arroz), además de la barrera de acceso a asesoría agronómica. Pierde un punto porque combina tres cultivos distintos y dos tareas —identificar la enfermedad y estimar su severidad—, lo que dispersa el alcance y dificulta precisar un objetivo único y verificable.</t>
  </si>
  <si>
    <t>Foro, Problema 2: «pequeños y medianos productores agrícolas (banano, cacao, arroz)» e «identifique la enfermedad y su nivel de severidad».</t>
  </si>
  <si>
    <t>P3 — Finanzas</t>
  </si>
  <si>
    <t>Identifica afectados concretos (usuarios, comercios, entidades financieras y usuarios recién bancarizados), pero agrupa bajo «fraude» fenómenos distintos: phishing, apropiación de cuentas y transacciones no autorizadas, que requieren datos y modelos diferentes. Además, el problema se plantea para banca y billeteras electrónicas, mientras la fuente de datos propuesta es de tarjetas de crédito, lo que desalinea el objetivo con los datos disponibles.</t>
  </si>
  <si>
    <t>Foro, Problema 3: «(phishing, apropiación de cuentas, transacciones no autorizadas)» y «datasets públicos de fraude con tarjetas de crédito».</t>
  </si>
  <si>
    <t>MEDIBLE</t>
  </si>
  <si>
    <t>Es el problema con métricas más estandarizadas: la clasificación sobre datasets etiquetados permite cuantificar F1-score macro y ponderado, exactitud, matriz de confusión y tasa de falsos positivos, todas comparables con la literatura. Además admite KPIs de costo operativo, como la latencia de inferencia por flujo, relevante para un proveedor de red. Los resultados son reproducibles porque los datasets mencionados tienen etiquetas públicas.</t>
  </si>
  <si>
    <t>Foro, Problema 1: «un modelo de aprendizaje profundo que clasifique flujos», entrenado sobre datasets públicos etiquetados.</t>
  </si>
  <si>
    <t>Canvas M: métricas técnicas, métricas de negocio y baseline actual</t>
  </si>
  <si>
    <t>La identificación de enfermedades es un problema de clasificación de imágenes con métricas claras: exactitud, F1-score por clase y matriz de confusión. Como KPI de impacto podría medirse el tiempo de diagnóstico frente a la consulta agronómica tradicional. Recibe cuatro puntos porque la estimación de severidad es difícil de cuantificar: requiere imágenes etiquetadas por grado de afectación, que los datasets públicos generalmente no ofrecen.</t>
  </si>
  <si>
    <t>Foro, Problema 2: «identifique la enfermedad y su nivel de severidad».</t>
  </si>
  <si>
    <t>La detección de fraude cuenta con métricas maduras y adecuadas al desbalance extremo de clases: precisión, recall, F1-score y área bajo la curva precisión-recall (AUPRC). También admite KPIs de negocio, como la proporción de fraude detectado o el costo que los falsos positivos generan al cliente legítimo. Los resultados son completamente cuantificables sobre datasets etiquetados y comparables con trabajos previos.</t>
  </si>
  <si>
    <t>Foro, Problema 3: «aplicando técnicas para manejar el desbalance de clases».</t>
  </si>
  <si>
    <t>ALCANZABLE</t>
  </si>
  <si>
    <t>Los datos son públicos y de acceso libre, y trabajar con características de flujo no requiere inspeccionar contenido ni gestionar datos personales. Las técnicas son apropiadas para el nivel de maestría. No alcanza el máximo porque el foro plantea aprendizaje profundo, que exige GPU (resoluble con Google Colab o Kaggle), y porque CESNET-TLS22 completo es muy voluminoso, lo que obliga a trabajar con una muestra reducida.</t>
  </si>
  <si>
    <t>Foro, Problema 1: «Con un modelo de aprendizaje profundo» y «datasets públicos como CIC-IDS2017 o CESNET-TLS22».</t>
  </si>
  <si>
    <t>Canvas A: recursos humanos, datos, infraestructura, presupuesto y riesgos</t>
  </si>
  <si>
    <t>Las técnicas propuestas (redes convolucionales y transfer learning) son apropiadas y accesibles. Sin embargo, PlantVillage no incluye banano, cacao ni arroz, por lo que el proyecto dependería casi por completo de imágenes locales que deben recolectarse y etiquetarse con validación de un especialista. Además, PlantVillage está fotografiado con fondos controlados, lo que suele degradar el desempeño con fotos tomadas directamente en campo.</t>
  </si>
  <si>
    <t>Foro, Problema 2: «entrenado con datasets públicos como PlantVillage y complementado con imágenes locales».</t>
  </si>
  <si>
    <t>Es técnicamente muy viable: existen datasets públicos livianos de fraude con tarjetas y modelos como XGBoost entrenan en una laptop en minutos. Pierde un punto porque los datos públicos más utilizados están anonimizados mediante transformaciones que ocultan el significado de las variables, limitando la interpretabilidad, y porque el acceso a datos transaccionales reales de entidades ecuatorianas es prácticamente inviable por confidencialidad.</t>
  </si>
  <si>
    <t>Foro, Problema 3: «ensambles como XGBoost o redes neuronales» y «datasets públicos de fraude con tarjetas de crédito».</t>
  </si>
  <si>
    <t>RELEVANTE</t>
  </si>
  <si>
    <t>Resuelve una necesidad actual y creciente: la mayor parte del tráfico de Internet viaja cifrado y las herramientas de inspección tradicionales pierden efectividad, afectando la gestión y la seguridad de redes empresariales y de proveedores. Está plenamente alineado con tendencias actuales de IA, como las arquitecturas basadas en atención aplicadas al análisis de tráfico, y equilibra seguridad con privacidad al no requerir descifrar las comunicaciones.</t>
  </si>
  <si>
    <t>Foro, Problema 1: «más del 90% del tráfico de Internet viaja cifrado» y «sin romper el cifrado ni vulnerar la privacidad del usuario».</t>
  </si>
  <si>
    <t>Canvas R: problema de negocio, alineación, prioridad y justificación de IA</t>
  </si>
  <si>
    <t>Tiene alto impacto económico y social: el banano y el cacao figuran entre los principales productos de exportación del Ecuador, y los pequeños productores son los más vulnerables a pérdidas por plagas. El cambio climático altera los ciclos de las plagas y la amplia disponibilidad de teléfonos inteligentes en zonas rurales hace factible una solución de campo, alineada con la visión por computador en dispositivos móviles.</t>
  </si>
  <si>
    <t>Foro, Problema 2: «presión del cambio climático» y «disponibilidad masiva de teléfonos inteligentes en zonas rurales».</t>
  </si>
  <si>
    <t>Es un problema real con impacto económico directo y relevante para la inclusión financiera en Latinoamérica. Recibe cuatro puntos porque es uno de los problemas más explorados en la literatura de aprendizaje automático, lo que reduce el margen de aporte, y porque los datasets públicos disponibles no reflejan el contexto latinoamericano ni el ecosistema de billeteras electrónicas que motiva la propuesta publicada en el foro.</t>
  </si>
  <si>
    <t>Foro, Problema 3: «la inclusión financiera digital se aceleró en los últimos años en Latinoamérica».</t>
  </si>
  <si>
    <t>TEMPORAL</t>
  </si>
  <si>
    <t>Con datasets preprocesados y modelos entrenables en horas, admite hitos claros: preparación de datos, modelos de referencia, modelos profundos, evaluación y aplicación de demostración. Es completable dentro del horizonte del proyecto integrador. Recibe cuatro y no cinco porque, tal como está redactado en el foro, abarcar dos tareas y dos datasets pondría en riesgo el cronograma; requiere acotarse a una sola tarea.</t>
  </si>
  <si>
    <t>Foro, Problema 1: doble tarea («clasificación de tráfico… para detección de intrusiones») y doble dataset («CIC-IDS2017 o CESNET-TLS22»).</t>
  </si>
  <si>
    <t>Canvas T: fechas, duración, hitos y dependencias</t>
  </si>
  <si>
    <t>El entrenamiento con transfer learning es rápido, pero el cronograma depende de actividades fuera del control del estudiante: recolección de imágenes en campo, estacionalidad de los cultivos y disponibilidad de un agrónomo para validar etiquetas. Estos hitos son difíciles de garantizar en el horizonte del proyecto, lo que vuelve el cronograma poco realista si no se reduce a un solo cultivo con dataset existente.</t>
  </si>
  <si>
    <t>Foro, Problema 2: «complementado con imágenes locales».</t>
  </si>
  <si>
    <t>Es el problema más sencillo de cronogramar: datos listos para usar, entrenamiento rápido y ciclos de experimentación cortos. Admite hitos claros —análisis exploratorio, manejo del desbalance, comparación de modelos, evaluación y demostración— y es completable con holgura dentro del horizonte del proyecto integrador, sin dependencias externas como la recolección de datos en campo o la validación de expertos.</t>
  </si>
  <si>
    <t>Foro, Problema 3: «entrenados sobre datasets públicos de fraude con tarjetas de crédito».</t>
  </si>
  <si>
    <t>Puntaje en verde = vínculo a la hoja «Matriz» (fuente única). Nº palabras = verificación automática del rango 50-80 exigido. Los puntajes se apoyaron en el Canvas SMART (hoja «Canvas SMART»).</t>
  </si>
  <si>
    <t>CANVAS SMART PARA PROYECTOS DE IA — APOYO A LA MATRIZ DE EVALUACIÓN</t>
  </si>
  <si>
    <t>Los problemas 2 y 3 se desarrollan a partir de lo publicado en el foro. El problema 1 ya incorpora los ajustes detectados al aplicar el Checklist (ver hojas «Checklist P1» y «Refinamiento P1»).</t>
  </si>
  <si>
    <t>Campo del Canvas</t>
  </si>
  <si>
    <t>Problema 1 — Ciberseguridad
(versión refinada)</t>
  </si>
  <si>
    <t>Problema 2 — Agricultura</t>
  </si>
  <si>
    <t>Problema 3 — Finanzas</t>
  </si>
  <si>
    <t>INFORMACIÓN DEL PROYECTO</t>
  </si>
  <si>
    <t>Nombre del proyecto</t>
  </si>
  <si>
    <t>Clasificación de tráfico de red cifrado con aprendizaje automático y Transformers (CESNET-TLS-Year22)</t>
  </si>
  <si>
    <t>Detección de plagas y enfermedades en cultivos mediante imágenes</t>
  </si>
  <si>
    <t>Detección de fraude en transacciones digitales</t>
  </si>
  <si>
    <t>Fecha</t>
  </si>
  <si>
    <t>22/09/2026</t>
  </si>
  <si>
    <t>Equipo</t>
  </si>
  <si>
    <t>Jairo Wladimir Jhayya Perlaza (individual)</t>
  </si>
  <si>
    <t>Sponsor / stakeholder principal</t>
  </si>
  <si>
    <t>Proveedores de Internet y áreas de TI y seguridad de empresas</t>
  </si>
  <si>
    <t>Pequeños y medianos productores de banano, cacao y arroz</t>
  </si>
  <si>
    <t>Entidades financieras y operadores de billeteras electrónicas</t>
  </si>
  <si>
    <t>S — ESPECÍFICO: ¿Qué exactamente vamos a construir/lograr?</t>
  </si>
  <si>
    <t>Qué se construirá</t>
  </si>
  <si>
    <t>Estudio comparativo de cuatro modelos y una aplicación web que clasifica flujos cifrados en 24 categorías de servicio</t>
  </si>
  <si>
    <t>Modelo de visión que identifica la enfermedad y su severidad a partir de fotos de hojas</t>
  </si>
  <si>
    <t>Clasificador que marca transacciones potencialmente fraudulentas</t>
  </si>
  <si>
    <t>Tipo de solución IA</t>
  </si>
  <si>
    <t>☑ Machine Learning Supervisado  ☑ Deep Learning</t>
  </si>
  <si>
    <t>☑ Computer Vision  ☑ Deep Learning</t>
  </si>
  <si>
    <t>☑ Machine Learning Supervisado</t>
  </si>
  <si>
    <t>Descripción específica</t>
  </si>
  <si>
    <t>Clasificación por metadatos de flujo (primeros 30 paquetes y estadísticas), sin inspeccionar contenido, con partición temporal de los datos</t>
  </si>
  <si>
    <t>Red convolucional con transfer learning sobre PlantVillage, complementada con imágenes locales</t>
  </si>
  <si>
    <t>Ensambles (XGBoost) o redes neuronales sobre variables transaccionales, con manejo del desbalance de clases</t>
  </si>
  <si>
    <t>Funcionalidades principales</t>
  </si>
  <si>
    <t>Explorador de datos, arena comparativa de modelos, clasificador en vivo y carga de CSV con plantilla</t>
  </si>
  <si>
    <t>Captura de foto, diagnóstico, nivel de severidad y recomendación básica</t>
  </si>
  <si>
    <t>Puntaje de riesgo por transacción, alertas y panel de métricas</t>
  </si>
  <si>
    <t>Usuarios primarios</t>
  </si>
  <si>
    <t>Administradores y analistas de red</t>
  </si>
  <si>
    <t>Productores agrícolas</t>
  </si>
  <si>
    <t>Analistas antifraude</t>
  </si>
  <si>
    <t>Usuarios secundarios</t>
  </si>
  <si>
    <t>Investigadores y docentes de redes e IA</t>
  </si>
  <si>
    <t>Técnicos y asociaciones agrícolas</t>
  </si>
  <si>
    <t>Usuarios finales y comercios</t>
  </si>
  <si>
    <t>M — MEDIBLE: ¿Cómo mediremos el éxito?</t>
  </si>
  <si>
    <t>Precisión / Accuracy</t>
  </si>
  <si>
    <t>Se reporta como métrica secundaria, sin meta propia</t>
  </si>
  <si>
    <t>≥ 90 % sobre PlantVillage; por medir en campo</t>
  </si>
  <si>
    <t>No se usa como métrica principal por el desbalance extremo</t>
  </si>
  <si>
    <t>Recall / Sensibilidad</t>
  </si>
  <si>
    <t>Reportado por clase</t>
  </si>
  <si>
    <t>≥ 85 % por enfermedad</t>
  </si>
  <si>
    <t>≥ 80 % sobre transacciones fraudulentas</t>
  </si>
  <si>
    <t>F1-Score</t>
  </si>
  <si>
    <t>F1 macro ≥ 80 % (métrica principal)</t>
  </si>
  <si>
    <t>F1 macro ≥ 85 %</t>
  </si>
  <si>
    <t>F1 ≥ 80 % y AUPRC ≥ 0,80</t>
  </si>
  <si>
    <t>Tiempo de respuesta</t>
  </si>
  <si>
    <t>≤ 10 ms por flujo en CPU</t>
  </si>
  <si>
    <t>≤ 2 s por imagen</t>
  </si>
  <si>
    <t>≤ 50 ms por transacción</t>
  </si>
  <si>
    <t>Throughput</t>
  </si>
  <si>
    <t>No se mide por separado; se reporta la latencia de inferencia por flujo</t>
  </si>
  <si>
    <t>No crítico</t>
  </si>
  <si>
    <t>≥ 100 transacciones/s</t>
  </si>
  <si>
    <t>Disponibilidad</t>
  </si>
  <si>
    <t>Demo pública durante evaluación y sustentación</t>
  </si>
  <si>
    <t>Prototipo académico</t>
  </si>
  <si>
    <t>ROI / reducción de costos / ingresos</t>
  </si>
  <si>
    <t>No calculable: prototipo académico sin datos operativos reales</t>
  </si>
  <si>
    <t>Reducción de pérdidas de cosecha (no cuantificable sin datos de campo)</t>
  </si>
  <si>
    <t>Reducción de pérdidas por fraude (no cuantificable con datos públicos)</t>
  </si>
  <si>
    <t>Ahorro de tiempo</t>
  </si>
  <si>
    <t>Costo computacional relativo de cada modelo (entrenamiento e inferencia)</t>
  </si>
  <si>
    <t>Diagnóstico inmediato frente a la espera de una visita técnica</t>
  </si>
  <si>
    <t>Menos revisiones manuales de falsos positivos</t>
  </si>
  <si>
    <t>Mejora en satisfacción (NPS/CSAT)</t>
  </si>
  <si>
    <t>No aplica en el alcance</t>
  </si>
  <si>
    <t>Baseline — situación actual</t>
  </si>
  <si>
    <t>La DPI y las reglas por puerto no funcionan sobre tráfico cifrado</t>
  </si>
  <si>
    <t>Diagnóstico visual tardío o dependiente de la visita de un agrónomo</t>
  </si>
  <si>
    <t>Reglas estáticas antifraude</t>
  </si>
  <si>
    <t>Baseline — métricas actuales</t>
  </si>
  <si>
    <t>Línea base Random Forest, medida en la semana 1 del proyecto</t>
  </si>
  <si>
    <t>Sin registros locales</t>
  </si>
  <si>
    <t>Línea base de regresión logística sobre el dataset</t>
  </si>
  <si>
    <t>A — ALCANZABLE: ¿Tenemos los recursos y capacidades necesarias?</t>
  </si>
  <si>
    <t>Recursos humanos</t>
  </si>
  <si>
    <t>1 persona (autor) cubre data science, ML engineering y desarrollo; experiencia propia en ciberseguridad y redes</t>
  </si>
  <si>
    <t>1 persona (autor) más 1 agrónomo validador, aún no asegurado</t>
  </si>
  <si>
    <t>1 persona (autor) cubre data science, ML engineering y desarrollo</t>
  </si>
  <si>
    <t>Datos disponibles</t>
  </si>
  <si>
    <t>☑ Suficientes (&gt;10K registros): millones de flujos etiquetados</t>
  </si>
  <si>
    <t>☑ Requiere recolección adicional: PlantVillage no incluye banano, cacao ni arroz</t>
  </si>
  <si>
    <t>☑ Suficientes (&gt;10K registros)</t>
  </si>
  <si>
    <t>Calidad de datos</t>
  </si>
  <si>
    <t>☑ Alta: red de producción real, etiquetado por SNI</t>
  </si>
  <si>
    <t>☑ Media: imágenes con fondo de laboratorio</t>
  </si>
  <si>
    <t>☑ Media: variables anonimizadas</t>
  </si>
  <si>
    <t>Infraestructura</t>
  </si>
  <si>
    <t>☑ Híbrida: laptop, Google Colab/Kaggle y Hugging Face Spaces</t>
  </si>
  <si>
    <t>☑ Cloud: GPU para entrenamiento</t>
  </si>
  <si>
    <t>☑ Híbrida: laptop y despliegue en la nube</t>
  </si>
  <si>
    <t>Herramientas / plataformas</t>
  </si>
  <si>
    <t>VS Code, Python 3.11, cesnet-datazoo, scikit-learn, XGBoost, PyTorch, Streamlit, Docker, GitHub</t>
  </si>
  <si>
    <t>Python, PyTorch o TensorFlow, aplicación móvil o web</t>
  </si>
  <si>
    <t>Python, scikit-learn, XGBoost, imbalanced-learn</t>
  </si>
  <si>
    <t>Presupuesto</t>
  </si>
  <si>
    <t>USD 0: código abierto y niveles gratuitos de Colab, Kaggle y Hugging Face</t>
  </si>
  <si>
    <t>Requiere presupuesto para salidas de campo y validación experta (no estimado)</t>
  </si>
  <si>
    <t>USD 0: código abierto y dataset público</t>
  </si>
  <si>
    <t>Riesgos técnicos identificados</t>
  </si>
  <si>
    <t>Tamaño de la descarga del dataset, convergencia del Transformer, límites de sesión de Colab y falla del despliegue</t>
  </si>
  <si>
    <t>Recolección de imágenes, estacionalidad y baja generalización de laboratorio a campo</t>
  </si>
  <si>
    <t>Datos no representativos del contexto local e interpretabilidad limitada</t>
  </si>
  <si>
    <t>R — RELEVANTE: ¿Por qué es importante este proyecto?</t>
  </si>
  <si>
    <t>Problema de negocio que resuelve</t>
  </si>
  <si>
    <t>Pérdida de visibilidad del tráfico por el cifrado masivo</t>
  </si>
  <si>
    <t>Pérdidas de cosecha por detección tardía de plagas</t>
  </si>
  <si>
    <t>Pérdidas económicas por fraude digital</t>
  </si>
  <si>
    <t>Objetivo organizacional</t>
  </si>
  <si>
    <t>Gestión de calidad de servicio y seguridad sin descifrar las comunicaciones</t>
  </si>
  <si>
    <t>Productividad agrícola</t>
  </si>
  <si>
    <t>Seguridad transaccional e inclusión financiera</t>
  </si>
  <si>
    <t>Impacto en KPIs de negocio</t>
  </si>
  <si>
    <t>Exactitud de clasificación y costo de inferencia por flujo</t>
  </si>
  <si>
    <t>Porcentaje de cosecha perdida</t>
  </si>
  <si>
    <t>Tasa de fraude no detectado y de falsos positivos</t>
  </si>
  <si>
    <t>Stakeholders beneficiados</t>
  </si>
  <si>
    <t>Proveedores de Internet, empresas y equipos de seguridad</t>
  </si>
  <si>
    <t>Productores, asociaciones y exportadores</t>
  </si>
  <si>
    <t>Usuarios, comercios y entidades financieras</t>
  </si>
  <si>
    <t>Prioridad</t>
  </si>
  <si>
    <t>☑ Alta</t>
  </si>
  <si>
    <t>☑ Media</t>
  </si>
  <si>
    <t>Justificación del uso de IA</t>
  </si>
  <si>
    <t>Sin acceso al contenido, solo patrones estadísticos complejos y cambiantes permiten clasificar el tráfico</t>
  </si>
  <si>
    <t>El reconocimiento visual de síntomas hoy requiere un experto presencial</t>
  </si>
  <si>
    <t>Los defraudadores cambian sus patrones más rápido que las reglas estáticas</t>
  </si>
  <si>
    <t>T — TEMPORAL: ¿Cuándo se completará?</t>
  </si>
  <si>
    <t>Fecha de inicio</t>
  </si>
  <si>
    <t>28/09/2026</t>
  </si>
  <si>
    <t>No definible: depende de la recolección en campo</t>
  </si>
  <si>
    <t>Fecha de finalización</t>
  </si>
  <si>
    <t>01/11/2026</t>
  </si>
  <si>
    <t>No definible</t>
  </si>
  <si>
    <t>25/10/2026</t>
  </si>
  <si>
    <t>Duración total</t>
  </si>
  <si>
    <t>5 semanas</t>
  </si>
  <si>
    <t>Más de 6 semanas estimadas</t>
  </si>
  <si>
    <t>4 semanas</t>
  </si>
  <si>
    <t>Dependencias / prerrequisitos</t>
  </si>
  <si>
    <t>Descarga del dataset antes de modelar; GPU gratuita disponible; modelos entrenados antes de la app</t>
  </si>
  <si>
    <t>Temporada de cultivo y disponibilidad de un agrónomo</t>
  </si>
  <si>
    <t>Ninguna dependencia externa</t>
  </si>
  <si>
    <t>VALIDACIÓN FINAL: ¿El objetivo cumple SMART?</t>
  </si>
  <si>
    <t>Específico</t>
  </si>
  <si>
    <t>☑ Claro qué se va a construir</t>
  </si>
  <si>
    <t>☐ Problema y datos desalineados</t>
  </si>
  <si>
    <t>Medible</t>
  </si>
  <si>
    <t>☐ KPIs definidos; baseline pendiente (semana 1)</t>
  </si>
  <si>
    <t>☐ Sin baseline ni métrica de severidad</t>
  </si>
  <si>
    <t>☑ KPIs y baseline definidos</t>
  </si>
  <si>
    <t>Alcanzable</t>
  </si>
  <si>
    <t>☑ Recursos disponibles y riesgos gestionables</t>
  </si>
  <si>
    <t>☐ Datos locales no disponibles</t>
  </si>
  <si>
    <t>☑ Recursos disponibles</t>
  </si>
  <si>
    <t>Relevante</t>
  </si>
  <si>
    <t>☑ Impacto claro</t>
  </si>
  <si>
    <t>Temporal</t>
  </si>
  <si>
    <t>☑ Timeline realista con hitos claros</t>
  </si>
  <si>
    <t>☐ Timeline dependiente de terceros</t>
  </si>
  <si>
    <t>☑ Timeline realista</t>
  </si>
  <si>
    <t>Aprobación</t>
  </si>
  <si>
    <t>Autor: 22/09/2026 · Docente: pendiente</t>
  </si>
  <si>
    <t>No se somete a aprobación</t>
  </si>
  <si>
    <t>Próximos pasos</t>
  </si>
  <si>
    <t>Aplicar el Checklist y fijar el objetivo definitivo</t>
  </si>
  <si>
    <t>Archivar como alternativa</t>
  </si>
  <si>
    <t>HITOS PRINCIPALES — PROBLEMA 1 (formato del Canvas)</t>
  </si>
  <si>
    <t>Fase</t>
  </si>
  <si>
    <t>Entregable</t>
  </si>
  <si>
    <t>Responsable</t>
  </si>
  <si>
    <t>Exploración de datos</t>
  </si>
  <si>
    <t>EDA + reporte de calidad de datos y particiones temporales</t>
  </si>
  <si>
    <t>04/10/2026 (semana 1)</t>
  </si>
  <si>
    <t>Autor</t>
  </si>
  <si>
    <t>Prototipo / MVP</t>
  </si>
  <si>
    <t>Modelo base funcional: Random Forest de extremo a extremo (línea base)</t>
  </si>
  <si>
    <t>Desarrollo</t>
  </si>
  <si>
    <t>XGBoost, 1D-CNN y Transformer entrenados y evaluados; mejor modelo serializado</t>
  </si>
  <si>
    <t>18/10/2026 (semanas 2-3)</t>
  </si>
  <si>
    <t>Testing</t>
  </si>
  <si>
    <t>Validación: tabla comparativa, prueba de McNemar y pruebas funcionales de la app</t>
  </si>
  <si>
    <t>25/10/2026 (semanas 3-4)</t>
  </si>
  <si>
    <t>Deploy piloto</t>
  </si>
  <si>
    <t>Aplicación en Hugging Face Spaces (versión beta)</t>
  </si>
  <si>
    <t>25/10/2026 (semana 4)</t>
  </si>
  <si>
    <t>Deploy completo</t>
  </si>
  <si>
    <t>Versión final pública, informe y sustentación. El monitoreo en producción real queda fuera del alcance</t>
  </si>
  <si>
    <t>01/11/2026 (semana 5)</t>
  </si>
  <si>
    <t>Fechas propuestas sobre la base de semanas de lunes a domingo a partir de la semana 2 del curso; se ajustan al calendario oficial de la asignatura.</t>
  </si>
  <si>
    <t>CHECKLIST DE VALIDACIÓN DE OBJETIVOS SMART PARA IA — PROBLEMA 1 (MAYOR PUNTAJE)</t>
  </si>
  <si>
    <t>Proyecto:</t>
  </si>
  <si>
    <t>Análisis comparativo de modelos de aprendizaje automático y arquitecturas Transformer para la clasificación de tráfico de red cifrado sobre el dataset CESNET-TLS-Year22</t>
  </si>
  <si>
    <t>Evaluador:</t>
  </si>
  <si>
    <t>Jairo Wladimir Jhayya Perlaza (autoevaluación)</t>
  </si>
  <si>
    <t>Fecha de evaluación:</t>
  </si>
  <si>
    <t>Se evalúan dos versiones del Problema 1: la publicada en el foro y la definitiva tras el refinamiento. Cada casilla se marca «Sí» o «No». Regla de puntuación: los máximos oficiales (5/7/7/7/5) no coinciden con el número de casillas de cada criterio, por lo que el puntaje se escala: (casillas cumplidas ÷ casillas del criterio) × máximo oficial. Los ítems propios de proyectos empresariales (ROI, adopción, compromiso formal de stakeholders) se evaluaron con rigor y no se excluyeron del cálculo.</t>
  </si>
  <si>
    <t>CRITERIO ESPECÍFICO (Specific) — máximo 5 puntos</t>
  </si>
  <si>
    <t>#</t>
  </si>
  <si>
    <t>Bloque</t>
  </si>
  <si>
    <t>Ítem del checklist oficial</t>
  </si>
  <si>
    <t>Versión foro</t>
  </si>
  <si>
    <t>Versión definitiva</t>
  </si>
  <si>
    <t>Evidencia / observación</t>
  </si>
  <si>
    <t>Claridad del objetivo</t>
  </si>
  <si>
    <t>Define exactamente QUÉ se va a construir (no solo «implementar IA»)</t>
  </si>
  <si>
    <t>No</t>
  </si>
  <si>
    <t>Sí</t>
  </si>
  <si>
    <t>Foro: solo «un modelo de aprendizaje profundo». Definitiva: estudio comparativo de 4 modelos y aplicación web con clasificador en vivo.</t>
  </si>
  <si>
    <t>Especifica el tipo de solución IA (ML, NLP, Computer Vision, etc.)</t>
  </si>
  <si>
    <t>Machine Learning supervisado (Random Forest, XGBoost) y Deep Learning (1D-CNN, Transformer encoder).</t>
  </si>
  <si>
    <t>Identifica usuarios finales claros y específicos</t>
  </si>
  <si>
    <t>Primarios: administradores y analistas de red de proveedores de Internet y empresas. Secundarios: investigadores y docentes.</t>
  </si>
  <si>
    <t>Define el alcance (qué incluye y qué NO incluye)</t>
  </si>
  <si>
    <t>Incluye 24 categorías, 4 modelos y la app; excluye modelos sobre contenido de paquetes, PCAP crudos, detección de intrusiones y captura propia.</t>
  </si>
  <si>
    <t>Describe funcionalidades principales de manera concreta</t>
  </si>
  <si>
    <t>Explorador de datos, arena comparativa de modelos, clasificador en vivo y carga de CSV con plantilla.</t>
  </si>
  <si>
    <t>Casillas cumplidas (de 5)</t>
  </si>
  <si>
    <t>Puntuación Específico: ___/5</t>
  </si>
  <si>
    <t>Escala: (casillas cumplidas ÷ 5) × 5</t>
  </si>
  <si>
    <t>Preguntas de validación (respondidas para la versión definitiva)</t>
  </si>
  <si>
    <t>¿Un desarrollador externo podría entender exactamente qué construir?</t>
  </si>
  <si>
    <t>Sí: dataset, muestra, modelos, métricas, stack y páginas de la aplicación están nombrados de forma explícita.</t>
  </si>
  <si>
    <t>¿Está libre de jerga ambigua como «optimizar», «mejorar», «automatizar»?</t>
  </si>
  <si>
    <t>Sí: los objetivos usan verbos verificables (construir, evaluar comparativamente, desarrollar), cada uno con su entregable.</t>
  </si>
  <si>
    <t>CRITERIO MEDIBLE (Measurable) — máximo 7 puntos</t>
  </si>
  <si>
    <t>Métricas técnicas</t>
  </si>
  <si>
    <t>Métricas de performance del modelo (accuracy, precision, recall, F1)</t>
  </si>
  <si>
    <t>F1 macro (principal), F1 ponderado, exactitud, precisión y recall por clase, matriz de confusión.</t>
  </si>
  <si>
    <t>Métricas de rendimiento técnico (latencia, throughput)</t>
  </si>
  <si>
    <t>Latencia de inferencia por flujo (ms), número de parámetros y tiempo de entrenamiento; el throughput no se mide por separado.</t>
  </si>
  <si>
    <t>Baseline actual documentado para comparación</t>
  </si>
  <si>
    <t>Definido (Random Forest), pero su valor numérico se obtendrá en la semana 1 del proyecto. Es la acción inmediata.</t>
  </si>
  <si>
    <t>Targets numéricos específicos (no rangos vagos)</t>
  </si>
  <si>
    <t>F1 macro ≥ 0,80 del modelo desplegado (meta inicial, recalibrable con la línea base); latencia ≤ 10 ms por flujo; α = 0,05.</t>
  </si>
  <si>
    <t>Método de medición definido (cómo y cuándo medir)</t>
  </si>
  <si>
    <t>Sobre el conjunto de prueba de la partición temporal, con las mismas particiones y semillas para todos los modelos, al cierre de las semanas 2 y 3.</t>
  </si>
  <si>
    <t>Métricas de negocio</t>
  </si>
  <si>
    <t>ROI calculable con números específicos</t>
  </si>
  <si>
    <t>Prototipo académico sin datos operativos: el ROI no es calculable con rigor.</t>
  </si>
  <si>
    <t>Impacto cuantificado (ahorro de tiempo, reducción de costos)</t>
  </si>
  <si>
    <t>Se cuantifica el costo computacional relativo de cada modelo frente a su F1, base de la recomendación práctica.</t>
  </si>
  <si>
    <t>Métricas de adopción (usuarios activos, transacciones procesadas)</t>
  </si>
  <si>
    <t>Sin usuarios reales dentro del alcance; la aplicación es demostrativa.</t>
  </si>
  <si>
    <t>Casillas cumplidas (de 8)</t>
  </si>
  <si>
    <t>Puntuación Medible: ___/7</t>
  </si>
  <si>
    <t>Escala: (casillas cumplidas ÷ 8) × 7</t>
  </si>
  <si>
    <t>¿Cómo sabríamos si el proyecto fue exitoso en 6 meses?</t>
  </si>
  <si>
    <t>Si el modelo recomendado conserva su F1 macro sobre tráfico de meses posteriores (la partición temporal lo estima) y el estudio sigue siendo reproducible desde el repositorio.</t>
  </si>
  <si>
    <t>¿Las métricas son objetivamente verificables?</t>
  </si>
  <si>
    <t>Sí: todas se recalculan desde el código publicado, con semillas fijas y particiones documentadas.</t>
  </si>
  <si>
    <t>CRITERIO ALCANZABLE (Achievable) — máximo 7 puntos</t>
  </si>
  <si>
    <t>Equipo técnico identificado con skills adecuados</t>
  </si>
  <si>
    <t>Proyecto individual: el autor, ingeniero en sistemas con experiencia en ciberseguridad, cubre data science, ML engineering y desarrollo.</t>
  </si>
  <si>
    <t>Tiempo de dedicación definido por persona</t>
  </si>
  <si>
    <t>Dedicación estimada de 15 horas semanales durante 5 semanas.</t>
  </si>
  <si>
    <t>Roles y responsabilidades claros</t>
  </si>
  <si>
    <t>El autor ejecuta el proyecto; el docente de la asignatura valida alcance y avances.</t>
  </si>
  <si>
    <t>Acceso a expertos de dominio asegurado</t>
  </si>
  <si>
    <t>Experiencia propia en ciberseguridad y redes, más la documentación oficial del dataset publicada en Scientific Data.</t>
  </si>
  <si>
    <t>Recursos técnicos y datos</t>
  </si>
  <si>
    <t>Datos suficientes disponibles (cantidad y calidad)</t>
  </si>
  <si>
    <t>Millones de flujos etiquetados de una red de producción; la muestra XS supera ampliamente los 10.000 registros.</t>
  </si>
  <si>
    <t>Infraestructura técnica adecuada o planificada</t>
  </si>
  <si>
    <t>Laptop para modelos clásicos y la app; GPU gratuita en Google Colab o Kaggle para las redes profundas.</t>
  </si>
  <si>
    <t>Herramientas y tecnologías disponibles</t>
  </si>
  <si>
    <t>VS Code, Python 3.11, cesnet-datazoo, scikit-learn, XGBoost, PyTorch, Streamlit, Docker y GitHub.</t>
  </si>
  <si>
    <t>Presupuesto aprobado y realista</t>
  </si>
  <si>
    <t>Costo monetario estimado de USD 0 (código abierto y niveles gratuitos); autofinanciado.</t>
  </si>
  <si>
    <t>Factibilidad técnica</t>
  </si>
  <si>
    <t>Problema técnicamente solucionable con IA</t>
  </si>
  <si>
    <t>La clasificación por metadatos de flujo está ampliamente documentada en la literatura.</t>
  </si>
  <si>
    <t>Riesgos técnicos identificados y mitigables</t>
  </si>
  <si>
    <t>Matriz de riesgos con mitigación: convergencia del Transformer, límites de Colab, tamaño del dataset y despliegue.</t>
  </si>
  <si>
    <t>Complejidad apropiada para el equipo y timeline</t>
  </si>
  <si>
    <t>Foro: dos tareas y entropía de bytes no calculable (el dataset no trae contenido). Definitiva: una tarea y 4 modelos ligeros; LSTM solo opcional.</t>
  </si>
  <si>
    <t>Casillas cumplidas (de 11)</t>
  </si>
  <si>
    <t>Puntuación Alcanzable: ___/7</t>
  </si>
  <si>
    <t>Escala: (casillas cumplidas ÷ 11) × 7</t>
  </si>
  <si>
    <t>¿El equipo ha resuelto problemas similares antes?</t>
  </si>
  <si>
    <t>El autor tiene experiencia en ciberseguridad y en la literatura de clasificación de tráfico cifrado; los modelos supervisados propuestos son de nivel de maestría.</t>
  </si>
  <si>
    <t>¿Los datos realmente existen y son accesibles?</t>
  </si>
  <si>
    <t>Sí: publicados en Zenodo y descargables con la librería oficial cesnet-datazoo en tamaños reducidos.</t>
  </si>
  <si>
    <t>¿El timeline considera curva de aprendizaje?</t>
  </si>
  <si>
    <t>Sí: la semana 1 incluye la familiarización con DataZoo y el Transformer se limita a una configuración ligera.</t>
  </si>
  <si>
    <t>CRITERIO RELEVANTE (Relevant) — máximo 7 puntos</t>
  </si>
  <si>
    <t>Alineación con negocio</t>
  </si>
  <si>
    <t>Problema de negocio real y prioritario identificado</t>
  </si>
  <si>
    <t>La mayor parte del tráfico viaja cifrado y la inspección tradicional pierde efectividad.</t>
  </si>
  <si>
    <t>Stakeholders clave identificados y comprometidos</t>
  </si>
  <si>
    <t>Identificados, pero sin compromiso formal de un proveedor o empresa: limitación propia de un proyecto académico.</t>
  </si>
  <si>
    <t>Impacto en objetivos organizacionales claro</t>
  </si>
  <si>
    <t>Visibilidad del tráfico para gestión de calidad de servicio y planificación de capacidad, sin descifrar.</t>
  </si>
  <si>
    <t>Usuario final validado que realmente lo usará</t>
  </si>
  <si>
    <t>No se valida con usuarios reales dentro del plazo.</t>
  </si>
  <si>
    <t>Justificación de IA</t>
  </si>
  <si>
    <t>Razón específica por usar IA vs solución tradicional</t>
  </si>
  <si>
    <t>Las reglas por puerto y la DPI no funcionan sobre tráfico cifrado.</t>
  </si>
  <si>
    <t>Complejidad del problema justifica IA</t>
  </si>
  <si>
    <t>24 categorías con deriva temporal: relaciones no lineales que las reglas estáticas no capturan.</t>
  </si>
  <si>
    <t>Datos disponibles hacen viable IA</t>
  </si>
  <si>
    <t>Dataset público, etiquetado y de gran volumen.</t>
  </si>
  <si>
    <t>Sostenibilidad</t>
  </si>
  <si>
    <t>Plan de mantenimiento post-implementación</t>
  </si>
  <si>
    <t>Fuera del alcance; la partición temporal medirá la degradación y servirá para recomendar la frecuencia de reentrenamiento.</t>
  </si>
  <si>
    <t>Escalabilidad considerada</t>
  </si>
  <si>
    <t>Se miden la latencia por flujo, el número de parámetros y el tiempo de entrenamiento de cada modelo; despliegue en contenedor Docker.</t>
  </si>
  <si>
    <t>Integración con sistemas existentes planificada</t>
  </si>
  <si>
    <t>La integración con colectores de flujos (NetFlow/IPFIX) queda como trabajo futuro.</t>
  </si>
  <si>
    <t>Casillas cumplidas (de 10)</t>
  </si>
  <si>
    <t>Puntuación Relevante: ___/7</t>
  </si>
  <si>
    <t>Escala: (casillas cumplidas ÷ 10) × 7</t>
  </si>
  <si>
    <t>¿Por qué no una solución más simple?</t>
  </si>
  <si>
    <t>La comparativa incluye la solución simple (Random Forest) como línea base: el Transformer solo se recomienda si la supera de forma significativa.</t>
  </si>
  <si>
    <t>¿Alguien pagaría por este resultado?</t>
  </si>
  <si>
    <t>La clasificación de tráfico es una función de gestión de red presente en soluciones comerciales; este prototipo es académico y no comercial.</t>
  </si>
  <si>
    <t>¿Se puede mantener la solución en el tiempo?</t>
  </si>
  <si>
    <t>Sí: código abierto, dependencias fijadas y reentrenamiento reproducible desde el repositorio.</t>
  </si>
  <si>
    <t>CRITERIO TEMPORAL (Time-bound) — máximo 5 puntos</t>
  </si>
  <si>
    <t>Timeline específico</t>
  </si>
  <si>
    <t>Fecha de inicio y fin claras</t>
  </si>
  <si>
    <t>Del 28/09/2026 al 01/11/2026 (5 semanas), ajustable al calendario oficial.</t>
  </si>
  <si>
    <t>Hitos intermedios con fechas específicas</t>
  </si>
  <si>
    <t>Un hito por semana con fecha de cierre (ver hitos en la hoja «Canvas SMART»).</t>
  </si>
  <si>
    <t>Entregables por fase definidos</t>
  </si>
  <si>
    <t>EDA y línea base; modelos clásicos; comparativa y McNemar; aplicación desplegada; informe y sustentación.</t>
  </si>
  <si>
    <t>Dependencies identificadas con timing</t>
  </si>
  <si>
    <t>Dataset descargado en la semana 1; modelos entrenados antes de la app (semana 3); GPU gratuita disponible.</t>
  </si>
  <si>
    <t>Realismo del timeline</t>
  </si>
  <si>
    <t>Tiempo para exploración de datos incluido</t>
  </si>
  <si>
    <t>Semana 1 completa.</t>
  </si>
  <si>
    <t>Iteraciones de modelo contempladas</t>
  </si>
  <si>
    <t>Semanas 2 y 3, con ajuste ligero de hiperparámetros.</t>
  </si>
  <si>
    <t>Testing y validación con tiempo suficiente</t>
  </si>
  <si>
    <t>Prueba de McNemar en la semana 3 y pruebas funcionales de la app en la semana 4.</t>
  </si>
  <si>
    <t>Buffer para imprevistos considerado</t>
  </si>
  <si>
    <t>La semana 5 funciona como holgura de cierre.</t>
  </si>
  <si>
    <t>Tiempo de deploy y estabilización incluido</t>
  </si>
  <si>
    <t>Despliegue beta en la semana 4 y versión final en la semana 5.</t>
  </si>
  <si>
    <t>Urgencia y prioridad</t>
  </si>
  <si>
    <t>Justificación del timeline (por qué esas fechas)</t>
  </si>
  <si>
    <t>Plazo del proyecto integrador según el calendario académico.</t>
  </si>
  <si>
    <t>Consecuencias de retrasos claras</t>
  </si>
  <si>
    <t>Si el Transformer se retrasa, el estudio se cierra con 3 modelos; si falla el despliegue, demo local y video de respaldo.</t>
  </si>
  <si>
    <t>Puntuación Temporal: ___/5</t>
  </si>
  <si>
    <t>Escala: (casillas cumplidas ÷ 11) × 5</t>
  </si>
  <si>
    <t>¿El timeline considera que el 80% de tiempo en IA es datos?</t>
  </si>
  <si>
    <t>Parcialmente: el dataset ya viene limpio y etiquetado, lo que reduce la preparación; aun así se reserva la semana 1 completa y parte de la 2.</t>
  </si>
  <si>
    <t>¿Se incluyó tiempo para reentrenamiento y ajustes?</t>
  </si>
  <si>
    <t>Sí: las semanas 2 y 3 contemplan reentrenamientos tras el ajuste de hiperparámetros.</t>
  </si>
  <si>
    <t>PUNTUACIÓN TOTAL</t>
  </si>
  <si>
    <t>Máximo</t>
  </si>
  <si>
    <t>TOTAL (___/31)</t>
  </si>
  <si>
    <t>Semáforo de calidad</t>
  </si>
  <si>
    <t>Verde 26-31: excelente · Amarillo 20-25: bueno · Naranja 15-19: regular · Rojo &lt; 15: deficiente</t>
  </si>
  <si>
    <t>Proyección al documentar la línea base (semana 1 del proyecto)</t>
  </si>
  <si>
    <t>Al medirse el Random Forest se marca la casilla «Baseline actual documentado» (+1 de 8 casillas en Medible).</t>
  </si>
  <si>
    <t>Semáforo proyectado</t>
  </si>
  <si>
    <t>Interpretación oficial: Verde 26-31 · Amarillo 20-25 · Naranja 15-19 · Rojo &lt; 15. Con puntajes escalados (decimales) se aplican los umbrales ≥ 26, ≥ 20 y ≥ 15. La matriz (hoja «Matriz») mide el potencial del problema; este checklist mide la calidad con que está formulado el objetivo, por eso la versión del foro puede puntuar alto en la matriz y bajo aquí.</t>
  </si>
  <si>
    <t>RECOMENDACIONES DE MEJORA — Aspectos más débiles (2-3 más críticos por versión)</t>
  </si>
  <si>
    <t>Aspecto</t>
  </si>
  <si>
    <t>Cómo se atendió / qué falta</t>
  </si>
  <si>
    <t>Definir mejor el alcance específico</t>
  </si>
  <si>
    <t>☑</t>
  </si>
  <si>
    <t>☐</t>
  </si>
  <si>
    <t>Atendido: una sola tarea, 24 categorías y exclusiones declaradas.</t>
  </si>
  <si>
    <t>Agregar métricas técnicas cuantificables</t>
  </si>
  <si>
    <t>Atendido: F1 macro y ponderado, latencia, parámetros, tiempo de entrenamiento y McNemar.</t>
  </si>
  <si>
    <t>Establecer baseline y targets claros</t>
  </si>
  <si>
    <t>Targets definidos; falta el valor numérico de la línea base (semana 1).</t>
  </si>
  <si>
    <t>Validar disponibilidad real de recursos</t>
  </si>
  <si>
    <t>Datos, herramientas y cómputo gratuitos confirmados.</t>
  </si>
  <si>
    <t>Confirmar factibilidad técnica</t>
  </si>
  <si>
    <t>Se retiró la entropía de bytes, no calculable sobre este dataset.</t>
  </si>
  <si>
    <t>Fortalecer justificación de negocio</t>
  </si>
  <si>
    <t>Sin stakeholders comprometidos ni usuarios validados: límite académico declarado.</t>
  </si>
  <si>
    <t>Ajustar timeline a realismo</t>
  </si>
  <si>
    <t>Cinco semanas, tres objetivos y extensión opcional.</t>
  </si>
  <si>
    <t>Definir hitos intermedios más claros</t>
  </si>
  <si>
    <t>Atendido: un hito con fecha y entregable por semana.</t>
  </si>
  <si>
    <t>ACCIONES PRIORITARIAS</t>
  </si>
  <si>
    <t>Inmediata</t>
  </si>
  <si>
    <t>Descargar la muestra XS y medir la línea base Random Forest (F1 macro y latencia) para documentar el baseline numérico.</t>
  </si>
  <si>
    <t>Esta semana</t>
  </si>
  <si>
    <t>Confirmar con el docente el alcance (una tarea, 24 categorías) y ajustar las fechas al calendario oficial.</t>
  </si>
  <si>
    <t>Próxima revisión</t>
  </si>
  <si>
    <t>Segunda validación del checklist al cierre de la semana 1 del proyecto, con la línea base ya medida.</t>
  </si>
  <si>
    <t>PRÓXIMOS PASOS</t>
  </si>
  <si>
    <t>☑ Refinamiento del objetivo basado en feedback</t>
  </si>
  <si>
    <t>Realizado: ver hoja «Refinamiento P1».</t>
  </si>
  <si>
    <t>☐ Segunda validación programada para</t>
  </si>
  <si>
    <t>04/10/2026</t>
  </si>
  <si>
    <t>☐ Aprobación de stakeholders requerida de</t>
  </si>
  <si>
    <t>Docente de la asignatura Proyecto Integrador en Inteligencia Artificial</t>
  </si>
  <si>
    <t>☐ Documentación actualizada en</t>
  </si>
  <si>
    <t>Repositorio GitHub del proyecto y ficha del proyecto integrador</t>
  </si>
  <si>
    <t>Evaluador: Jairo Wladimir Jhayya Perlaza      Firma: ____________________      Fecha: 22/09/2026</t>
  </si>
  <si>
    <t>REFINAMIENTO DEL PROBLEMA 1: DEL FORO A LA VERSIÓN DEFINITIVA</t>
  </si>
  <si>
    <t>Versión publicada en el foro</t>
  </si>
  <si>
    <t>Motivo del ajuste</t>
  </si>
  <si>
    <t>Tarea</t>
  </si>
  <si>
    <t>Clasificación de tráfico cifrado para detección de intrusiones (dos tareas).</t>
  </si>
  <si>
    <t>Clasificación de tráfico cifrado por 24 categorías de servicio (una tarea).</t>
  </si>
  <si>
    <t>Mejora ESPECÍFICO y TEMPORAL: una sola tarea es abordable en el plazo.</t>
  </si>
  <si>
    <t>Dataset</t>
  </si>
  <si>
    <t>CIC-IDS2017 o CESNET-TLS22.</t>
  </si>
  <si>
    <t>CESNET-TLS-Year22 (2024), muestra XS mediante cesnet-datazoo.</t>
  </si>
  <si>
    <t>Dataset más reciente con publicación formal; cubre un año completo y permite partición temporal.</t>
  </si>
  <si>
    <t>Características</t>
  </si>
  <si>
    <t>Tamaños de paquete, tiempos entre llegadas, duración y entropía.</t>
  </si>
  <si>
    <t>Secuencias de los primeros 30 paquetes (tamaño, dirección, tiempo) y estadísticas de flujo.</t>
  </si>
  <si>
    <t>El dataset no incluye el contenido de los paquetes; la entropía de bytes no es calculable.</t>
  </si>
  <si>
    <t>Técnica de IA</t>
  </si>
  <si>
    <t>Un modelo de aprendizaje profundo.</t>
  </si>
  <si>
    <t>Comparativa: Random Forest, XGBoost, 1D-CNN y Transformer encoder.</t>
  </si>
  <si>
    <t>Aporta línea base y responde una pregunta concreta: desempeño frente a costo.</t>
  </si>
  <si>
    <t>Evaluación</t>
  </si>
  <si>
    <t>No definida.</t>
  </si>
  <si>
    <t>F1 macro y ponderado, exactitud, matriz de confusión, latencia, parámetros, tiempo de entrenamiento y McNemar (α = 0,05).</t>
  </si>
  <si>
    <t>Mejora MEDIBLE: criterios de éxito y de decisión explícitos.</t>
  </si>
  <si>
    <t>No definido.</t>
  </si>
  <si>
    <t>Aplicación web Streamlit desplegada con URL pública.</t>
  </si>
  <si>
    <t>Resultados demostrables y ejecutables.</t>
  </si>
  <si>
    <t>Plazo</t>
  </si>
  <si>
    <t>Cinco semanas con un hito verificable por semana.</t>
  </si>
  <si>
    <t>Mejora TEMPORAL.</t>
  </si>
  <si>
    <t>OBJETIVOS DEFINITIVOS</t>
  </si>
  <si>
    <t>Título</t>
  </si>
  <si>
    <t>Análisis comparativo de modelos de aprendizaje automático y arquitecturas Transformer para la clasificación de tráfico de red cifrado sobre el dataset CESNET-TLS-Year22.</t>
  </si>
  <si>
    <t>Objetivo general</t>
  </si>
  <si>
    <t>Desarrollar un estudio comparativo entre modelos clásicos de aprendizaje automático y arquitecturas profundas basadas en atención para la clasificación de tráfico de red cifrado por categorías de servicio sobre el dataset CESNET-TLS-Year22, evaluando desempeño y costo computacional bajo partición temporal, y disponibilizando los resultados mediante una aplicación web interactiva.</t>
  </si>
  <si>
    <t>OE1 (semana 1)</t>
  </si>
  <si>
    <t>Construir el conjunto experimental de trabajo a partir del dataset CESNET-TLS-Year22, mediante la selección de la muestra (tamaño XS), la partición temporal de los datos y el análisis exploratorio de las 24 categorías de servicio, para garantizar condiciones idénticas y reproducibles de entrenamiento y evaluación para todos los modelos.</t>
  </si>
  <si>
    <t>OE2 (semanas 2-3)</t>
  </si>
  <si>
    <t>Evaluar comparativamente el desempeño y el costo computacional de cuatro modelos de clasificación —Random Forest, XGBoost, red convolucional 1D y Transformer encoder— mediante métricas de desempeño (F1 macro y ponderado, exactitud, matriz de confusión), métricas de costo (latencia de inferencia, número de parámetros, tiempo de entrenamiento) y la prueba de McNemar (α = 0,05), para determinar qué familia de modelos ofrece el mejor equilibrio en la clasificación de tráfico cifrado.</t>
  </si>
  <si>
    <t>OE3 (semanas 4-5)</t>
  </si>
  <si>
    <t>Desarrollar una aplicación web interactiva en Streamlit que integre la exploración del dataset, la comparativa de modelos y la clasificación de flujos en tiempo real con el mejor modelo, para demostrar de forma ejecutable y verificable los resultados del estudio.</t>
  </si>
  <si>
    <t>Letra SMART</t>
  </si>
  <si>
    <t>Cómo lo cumple el objetivo general</t>
  </si>
  <si>
    <t>S — Específico</t>
  </si>
  <si>
    <t>Una tarea (clasificación por categorías de servicio), un dataset (CESNET-TLS-Year22) y cuatro modelos nombrados.</t>
  </si>
  <si>
    <t>M — Medible</t>
  </si>
  <si>
    <t>F1 macro como métrica principal, métricas de costo y prueba de McNemar con α = 0,05.</t>
  </si>
  <si>
    <t>A — Alcanzable</t>
  </si>
  <si>
    <t>Datos abiertos en muestra XS, modelos ligeros, GPU gratuita en Colab o Kaggle y stack 100 % Python.</t>
  </si>
  <si>
    <t>R — Relevante</t>
  </si>
  <si>
    <t>Responde a la pérdida de visibilidad por el cifrado masivo del tráfico con técnicas actuales de IA.</t>
  </si>
  <si>
    <t>T — Temporal</t>
  </si>
  <si>
    <t>Cinco semanas con un hito verificable por semana y holgura en la semana de cierre.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</si>
</sst>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
    </font>
    <font>
      <b/>
      <sz val="14"/>
      <color rgb="FFFFFFFF"/>
      <name val="Arial"/>
      <family val="2"/>
    </font>
    <font>
      <i/>
      <sz val="9"/>
      <name val="Arial"/>
      <family val="2"/>
    </font>
    <font>
      <b/>
      <sz val="10"/>
      <color rgb="FF1F3864"/>
      <name val="Arial"/>
      <family val="2"/>
    </font>
    <font>
      <b/>
      <sz val="10"/>
      <color rgb="FF000000"/>
      <name val="Arial"/>
      <family val="2"/>
    </font>
    <font>
      <sz val="11"/>
      <color rgb="FF0000FF"/>
      <name val="Arial"/>
      <family val="2"/>
    </font>
    <font>
      <sz val="10"/>
      <color rgb="FF0000FF"/>
      <name val="Arial"/>
      <family val="2"/>
    </font>
    <font>
      <b/>
      <sz val="11"/>
      <color rgb="FF000000"/>
      <name val="Arial"/>
      <family val="2"/>
    </font>
    <font>
      <sz val="10"/>
      <color rgb="FF000000"/>
      <name val="Arial"/>
      <family val="2"/>
    </font>
    <font>
      <b/>
      <sz val="10"/>
      <color rgb="FFFFFFFF"/>
      <name val="Arial"/>
      <family val="2"/>
    </font>
    <font>
      <b/>
      <sz val="11"/>
      <color rgb="FF1F3864"/>
      <name val="Arial"/>
      <family val="2"/>
    </font>
    <font>
      <b/>
      <sz val="11"/>
      <color rgb="FF008000"/>
      <name val="Arial"/>
      <family val="2"/>
    </font>
    <font>
      <b/>
      <sz val="11"/>
      <color rgb="FFFFFFFF"/>
      <name val="Arial"/>
      <family val="2"/>
    </font>
    <font>
      <b/>
      <i/>
      <sz val="10"/>
      <color rgb="FF1F3864"/>
      <name val="Arial"/>
      <family val="2"/>
    </font>
    <font>
      <sz val="12"/>
      <color rgb="FF000000"/>
      <name val="Arial"/>
      <family val="2"/>
    </font>
    <font>
      <b/>
      <sz val="10"/>
      <name val="Arial"/>
      <family val="2"/>
    </font>
    <font>
      <sz val="10"/>
      <name val="Arial"/>
      <family val="2"/>
    </font>
  </fonts>
  <fills count="6">
    <fill>
      <patternFill patternType="none"/>
    </fill>
    <fill>
      <patternFill patternType="gray125"/>
    </fill>
    <fill>
      <patternFill patternType="solid">
        <fgColor rgb="FF1F3864"/>
        <bgColor rgb="FF333333"/>
      </patternFill>
    </fill>
    <fill>
      <patternFill patternType="solid">
        <fgColor rgb="FFD9E2F3"/>
        <bgColor rgb="FFD9D9D9"/>
      </patternFill>
    </fill>
    <fill>
      <patternFill patternType="solid">
        <fgColor rgb="FFF2F2F2"/>
        <bgColor rgb="FFE2EFDA"/>
      </patternFill>
    </fill>
    <fill>
      <patternFill patternType="solid">
        <fgColor rgb="FFE2EFDA"/>
        <bgColor rgb="FFF2F2F2"/>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54">
    <xf numFmtId="0" fontId="0" fillId="0" borderId="0" xfId="0"/>
    <xf numFmtId="0" fontId="12" fillId="2" borderId="0" xfId="0" applyFont="1" applyFill="1" applyBorder="1"/>
    <xf numFmtId="0" fontId="4" fillId="4" borderId="1" xfId="0" applyFont="1" applyFill="1" applyBorder="1" applyAlignment="1">
      <alignment vertical="top" wrapText="1"/>
    </xf>
    <xf numFmtId="0" fontId="13" fillId="0" borderId="0" xfId="0" applyFont="1" applyBorder="1"/>
    <xf numFmtId="0" fontId="12" fillId="2" borderId="0" xfId="0" applyFont="1" applyFill="1" applyBorder="1" applyAlignment="1">
      <alignment vertical="center"/>
    </xf>
    <xf numFmtId="0" fontId="8" fillId="0" borderId="1" xfId="0" applyFont="1" applyBorder="1" applyAlignment="1">
      <alignment vertical="top" wrapText="1"/>
    </xf>
    <xf numFmtId="0" fontId="4" fillId="3" borderId="1" xfId="0" applyFont="1" applyFill="1" applyBorder="1" applyAlignment="1">
      <alignment vertical="top" wrapText="1"/>
    </xf>
    <xf numFmtId="0" fontId="2" fillId="0" borderId="0" xfId="0" applyFont="1" applyBorder="1"/>
    <xf numFmtId="0" fontId="9" fillId="2" borderId="0" xfId="0" applyFont="1" applyFill="1" applyBorder="1"/>
    <xf numFmtId="0" fontId="9" fillId="2" borderId="0" xfId="0" applyFont="1" applyFill="1" applyBorder="1" applyAlignment="1">
      <alignment vertical="center"/>
    </xf>
    <xf numFmtId="0" fontId="2" fillId="0" borderId="0" xfId="0" applyFont="1" applyBorder="1" applyAlignment="1">
      <alignment vertical="top" wrapText="1"/>
    </xf>
    <xf numFmtId="0" fontId="3" fillId="0" borderId="0" xfId="0" applyFont="1" applyBorder="1"/>
    <xf numFmtId="0" fontId="10" fillId="5" borderId="1" xfId="0" applyFont="1" applyFill="1" applyBorder="1" applyAlignment="1">
      <alignment horizontal="center" vertical="center" wrapText="1"/>
    </xf>
    <xf numFmtId="0" fontId="2" fillId="0" borderId="0" xfId="0" applyFont="1" applyBorder="1" applyAlignment="1">
      <alignment horizontal="center" vertical="center" wrapText="1"/>
    </xf>
    <xf numFmtId="0" fontId="1" fillId="2" borderId="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vertical="center"/>
    </xf>
    <xf numFmtId="0" fontId="5" fillId="0" borderId="1" xfId="0" applyFont="1" applyBorder="1" applyAlignment="1">
      <alignment horizontal="center" vertical="center" wrapText="1"/>
    </xf>
    <xf numFmtId="9" fontId="6" fillId="0" borderId="1" xfId="0" applyNumberFormat="1" applyFont="1" applyBorder="1" applyAlignment="1">
      <alignment horizontal="center" vertical="center" wrapText="1"/>
    </xf>
    <xf numFmtId="0" fontId="4" fillId="4" borderId="1" xfId="0" applyFont="1" applyFill="1" applyBorder="1" applyAlignment="1">
      <alignment vertical="center"/>
    </xf>
    <xf numFmtId="0" fontId="5" fillId="4" borderId="1" xfId="0" applyFont="1" applyFill="1" applyBorder="1" applyAlignment="1">
      <alignment horizontal="center" vertical="center" wrapText="1"/>
    </xf>
    <xf numFmtId="9" fontId="6" fillId="4" borderId="1" xfId="0" applyNumberFormat="1" applyFont="1" applyFill="1" applyBorder="1" applyAlignment="1">
      <alignment horizontal="center" vertical="center" wrapText="1"/>
    </xf>
    <xf numFmtId="0" fontId="4" fillId="3" borderId="1" xfId="0" applyFont="1" applyFill="1" applyBorder="1" applyAlignment="1">
      <alignment vertical="center"/>
    </xf>
    <xf numFmtId="2" fontId="7" fillId="3" borderId="1" xfId="0" applyNumberFormat="1" applyFont="1" applyFill="1" applyBorder="1" applyAlignment="1">
      <alignment horizontal="center" vertical="center" wrapText="1"/>
    </xf>
    <xf numFmtId="9" fontId="4" fillId="3" borderId="1" xfId="0" applyNumberFormat="1" applyFont="1" applyFill="1" applyBorder="1" applyAlignment="1">
      <alignment horizontal="center" vertical="center" wrapText="1"/>
    </xf>
    <xf numFmtId="164"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1" fontId="4" fillId="0" borderId="1" xfId="0" applyNumberFormat="1" applyFont="1" applyBorder="1" applyAlignment="1">
      <alignment horizontal="center" vertical="center" wrapText="1"/>
    </xf>
    <xf numFmtId="0" fontId="9" fillId="2" borderId="1" xfId="0" applyFont="1" applyFill="1" applyBorder="1" applyAlignment="1">
      <alignment vertical="center"/>
    </xf>
    <xf numFmtId="0" fontId="8" fillId="0" borderId="1" xfId="0" applyFont="1" applyBorder="1" applyAlignment="1">
      <alignment vertical="top" wrapText="1"/>
    </xf>
    <xf numFmtId="2" fontId="8" fillId="0" borderId="1" xfId="0" applyNumberFormat="1" applyFont="1" applyBorder="1" applyAlignment="1">
      <alignment horizontal="center" vertical="center" wrapText="1"/>
    </xf>
    <xf numFmtId="9" fontId="8" fillId="0" borderId="1" xfId="0" applyNumberFormat="1" applyFont="1" applyBorder="1" applyAlignment="1">
      <alignment horizontal="center" vertical="center" wrapText="1"/>
    </xf>
    <xf numFmtId="0" fontId="4" fillId="3" borderId="1" xfId="0" applyFont="1" applyFill="1" applyBorder="1" applyAlignment="1">
      <alignment vertical="top" wrapText="1"/>
    </xf>
    <xf numFmtId="2" fontId="4" fillId="3" borderId="1" xfId="0" applyNumberFormat="1" applyFont="1" applyFill="1" applyBorder="1" applyAlignment="1">
      <alignment horizontal="center" vertical="center" wrapText="1"/>
    </xf>
    <xf numFmtId="0" fontId="4" fillId="0" borderId="1" xfId="0" applyFont="1" applyBorder="1" applyAlignment="1">
      <alignment vertical="top"/>
    </xf>
    <xf numFmtId="0" fontId="11" fillId="0" borderId="1" xfId="0" applyFont="1" applyBorder="1" applyAlignment="1">
      <alignment horizontal="center" vertical="center" wrapText="1"/>
    </xf>
    <xf numFmtId="1" fontId="8" fillId="0" borderId="1" xfId="0" applyNumberFormat="1" applyFont="1" applyBorder="1" applyAlignment="1">
      <alignment horizontal="center" vertical="center" wrapText="1"/>
    </xf>
    <xf numFmtId="0" fontId="4" fillId="4" borderId="1" xfId="0" applyFont="1" applyFill="1" applyBorder="1" applyAlignment="1">
      <alignment vertical="top"/>
    </xf>
    <xf numFmtId="0" fontId="8" fillId="4" borderId="1" xfId="0" applyFont="1" applyFill="1" applyBorder="1" applyAlignment="1">
      <alignment vertical="top" wrapText="1"/>
    </xf>
    <xf numFmtId="0" fontId="11" fillId="4" borderId="1" xfId="0" applyFont="1" applyFill="1" applyBorder="1" applyAlignment="1">
      <alignment horizontal="center" vertical="center" wrapText="1"/>
    </xf>
    <xf numFmtId="1" fontId="8" fillId="4" borderId="1" xfId="0" applyNumberFormat="1" applyFont="1" applyFill="1" applyBorder="1" applyAlignment="1">
      <alignment horizontal="center" vertical="center" wrapText="1"/>
    </xf>
    <xf numFmtId="0" fontId="2" fillId="0" borderId="0" xfId="0" applyFont="1"/>
    <xf numFmtId="0" fontId="4" fillId="4" borderId="1" xfId="0" applyFont="1" applyFill="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1" fontId="4" fillId="3" borderId="1" xfId="0" applyNumberFormat="1" applyFont="1" applyFill="1" applyBorder="1" applyAlignment="1">
      <alignment horizontal="center" vertical="center" wrapText="1"/>
    </xf>
    <xf numFmtId="0" fontId="8" fillId="3" borderId="1" xfId="0" applyFont="1" applyFill="1" applyBorder="1" applyAlignment="1">
      <alignment vertical="top" wrapText="1"/>
    </xf>
    <xf numFmtId="2" fontId="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4" fillId="0" borderId="1" xfId="0" applyFont="1" applyBorder="1" applyAlignment="1">
      <alignment vertical="top" wrapText="1"/>
    </xf>
    <xf numFmtId="0" fontId="15" fillId="0" borderId="0" xfId="0" applyFont="1" applyBorder="1"/>
    <xf numFmtId="0" fontId="12" fillId="2" borderId="0" xfId="0" applyFont="1" applyFill="1" applyBorder="1" applyAlignment="1">
      <alignment horizontal="center" vertical="center" wrapText="1"/>
    </xf>
    <xf numFmtId="0" fontId="16" fillId="0" borderId="1" xfId="0" applyFont="1" applyBorder="1" applyAlignment="1">
      <alignment vertical="top" wrapText="1"/>
    </xf>
    <xf numFmtId="0" fontId="3" fillId="3" borderId="1" xfId="0" applyFont="1" applyFill="1" applyBorder="1" applyAlignment="1">
      <alignment horizontal="center" vertical="center" wrapText="1"/>
    </xf>
  </cellXfs>
  <cellStyles count="1">
    <cellStyle name="Normal" xfId="0" builtinId="0"/>
  </cellStyles>
  <dxfs count="18">
    <dxf>
      <fill>
        <patternFill>
          <bgColor rgb="FFFF9999"/>
        </patternFill>
      </fill>
    </dxf>
    <dxf>
      <fill>
        <patternFill>
          <bgColor rgb="FFF8CBAD"/>
        </patternFill>
      </fill>
    </dxf>
    <dxf>
      <fill>
        <patternFill>
          <bgColor rgb="FFFFF2CC"/>
        </patternFill>
      </fill>
    </dxf>
    <dxf>
      <fill>
        <patternFill>
          <bgColor rgb="FFE2EFDA"/>
        </patternFill>
      </fill>
    </dxf>
    <dxf>
      <fill>
        <patternFill>
          <bgColor rgb="FFFF9999"/>
        </patternFill>
      </fill>
    </dxf>
    <dxf>
      <fill>
        <patternFill>
          <bgColor rgb="FFF8CBAD"/>
        </patternFill>
      </fill>
    </dxf>
    <dxf>
      <fill>
        <patternFill>
          <bgColor rgb="FFFFF2CC"/>
        </patternFill>
      </fill>
    </dxf>
    <dxf>
      <fill>
        <patternFill>
          <bgColor rgb="FFE2EFDA"/>
        </patternFill>
      </fill>
    </dxf>
    <dxf>
      <fill>
        <patternFill>
          <bgColor rgb="FFFCE4D6"/>
        </patternFill>
      </fill>
    </dxf>
    <dxf>
      <fill>
        <patternFill>
          <bgColor rgb="FFE2EFDA"/>
        </patternFill>
      </fill>
    </dxf>
    <dxf>
      <fill>
        <patternFill>
          <bgColor rgb="FFFCE4D6"/>
        </patternFill>
      </fill>
    </dxf>
    <dxf>
      <fill>
        <patternFill>
          <bgColor rgb="FFE2EFDA"/>
        </patternFill>
      </fill>
    </dxf>
    <dxf>
      <fill>
        <patternFill>
          <bgColor rgb="FFFCE4D6"/>
        </patternFill>
      </fill>
    </dxf>
    <dxf>
      <fill>
        <patternFill>
          <bgColor rgb="FFE2EFDA"/>
        </patternFill>
      </fill>
    </dxf>
    <dxf>
      <fill>
        <patternFill>
          <bgColor rgb="FFFCE4D6"/>
        </patternFill>
      </fill>
    </dxf>
    <dxf>
      <fill>
        <patternFill>
          <bgColor rgb="FFE2EFDA"/>
        </patternFill>
      </fill>
    </dxf>
    <dxf>
      <fill>
        <patternFill>
          <bgColor rgb="FFFCE4D6"/>
        </patternFill>
      </fill>
    </dxf>
    <dxf>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E2EFDA"/>
      <rgbColor rgb="FFFCE4D6"/>
      <rgbColor rgb="FF99CCFF"/>
      <rgbColor rgb="FFFF9999"/>
      <rgbColor rgb="FFCC99FF"/>
      <rgbColor rgb="FFF8CBAD"/>
      <rgbColor rgb="FF3366FF"/>
      <rgbColor rgb="FF33CCCC"/>
      <rgbColor rgb="FF99CC00"/>
      <rgbColor rgb="FFFFCC00"/>
      <rgbColor rgb="FFFF9900"/>
      <rgbColor rgb="FFFF6600"/>
      <rgbColor rgb="FF4F81BD"/>
      <rgbColor rgb="FFA6A6A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ES" sz="1800" b="1" strike="noStrike" spc="-1">
                <a:solidFill>
                  <a:srgbClr val="000000"/>
                </a:solidFill>
                <a:latin typeface="Calibri"/>
              </a:rPr>
              <a:t>Total ponderado por problema</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Matriz!$B$17:$D$17</c:f>
              <c:strCache>
                <c:ptCount val="3"/>
                <c:pt idx="0">
                  <c:v>Problema 1</c:v>
                </c:pt>
                <c:pt idx="1">
                  <c:v>Problema 2</c:v>
                </c:pt>
                <c:pt idx="2">
                  <c:v>Problema 3</c:v>
                </c:pt>
              </c:strCache>
            </c:strRef>
          </c:cat>
          <c:val>
            <c:numRef>
              <c:f>Matriz!$B$10:$D$10</c:f>
              <c:numCache>
                <c:formatCode>0.00</c:formatCode>
                <c:ptCount val="3"/>
                <c:pt idx="0">
                  <c:v>4.3999999999999995</c:v>
                </c:pt>
                <c:pt idx="1">
                  <c:v>3.8</c:v>
                </c:pt>
                <c:pt idx="2">
                  <c:v>4.1500000000000004</c:v>
                </c:pt>
              </c:numCache>
            </c:numRef>
          </c:val>
          <c:extLst>
            <c:ext xmlns:c16="http://schemas.microsoft.com/office/drawing/2014/chart" uri="{C3380CC4-5D6E-409C-BE32-E72D297353CC}">
              <c16:uniqueId val="{00000000-B9BD-4F85-B15C-FCA18A3B4F47}"/>
            </c:ext>
          </c:extLst>
        </c:ser>
        <c:dLbls>
          <c:showLegendKey val="0"/>
          <c:showVal val="0"/>
          <c:showCatName val="0"/>
          <c:showSerName val="0"/>
          <c:showPercent val="0"/>
          <c:showBubbleSize val="0"/>
        </c:dLbls>
        <c:gapWidth val="150"/>
        <c:axId val="41561369"/>
        <c:axId val="26259247"/>
      </c:barChart>
      <c:catAx>
        <c:axId val="415613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26259247"/>
        <c:crosses val="autoZero"/>
        <c:auto val="1"/>
        <c:lblAlgn val="ctr"/>
        <c:lblOffset val="100"/>
        <c:noMultiLvlLbl val="0"/>
      </c:catAx>
      <c:valAx>
        <c:axId val="26259247"/>
        <c:scaling>
          <c:orientation val="minMax"/>
          <c:max val="5"/>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ES" sz="1000" b="1" strike="noStrike" spc="-1">
                    <a:solidFill>
                      <a:srgbClr val="000000"/>
                    </a:solidFill>
                    <a:latin typeface="Calibri"/>
                  </a:rPr>
                  <a:t>Puntaje (sobre 5)</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4156136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14</xdr:col>
      <xdr:colOff>147600</xdr:colOff>
      <xdr:row>13</xdr:row>
      <xdr:rowOff>89640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7"/>
  <sheetViews>
    <sheetView showGridLines="0" topLeftCell="A10" zoomScaleNormal="100" workbookViewId="0">
      <selection sqref="A1:E1"/>
    </sheetView>
  </sheetViews>
  <sheetFormatPr baseColWidth="10" defaultColWidth="8.7109375" defaultRowHeight="15" x14ac:dyDescent="0.25"/>
  <cols>
    <col min="1" max="1" width="34" customWidth="1"/>
    <col min="2" max="4" width="24" customWidth="1"/>
    <col min="5" max="5" width="10" customWidth="1"/>
  </cols>
  <sheetData>
    <row r="1" spans="1:5" ht="27.75" customHeight="1" x14ac:dyDescent="0.25">
      <c r="A1" s="14" t="s">
        <v>0</v>
      </c>
      <c r="B1" s="14"/>
      <c r="C1" s="14"/>
      <c r="D1" s="14"/>
      <c r="E1" s="14"/>
    </row>
    <row r="2" spans="1:5" ht="30" customHeight="1" x14ac:dyDescent="0.25">
      <c r="A2" s="13" t="s">
        <v>1</v>
      </c>
      <c r="B2" s="13"/>
      <c r="C2" s="13"/>
      <c r="D2" s="13"/>
      <c r="E2" s="13"/>
    </row>
    <row r="4" spans="1:5" ht="48" customHeight="1" x14ac:dyDescent="0.25">
      <c r="A4" s="15" t="s">
        <v>2</v>
      </c>
      <c r="B4" s="15" t="s">
        <v>3</v>
      </c>
      <c r="C4" s="15" t="s">
        <v>4</v>
      </c>
      <c r="D4" s="15" t="s">
        <v>5</v>
      </c>
      <c r="E4" s="15" t="s">
        <v>6</v>
      </c>
    </row>
    <row r="5" spans="1:5" ht="19.5" customHeight="1" x14ac:dyDescent="0.25">
      <c r="A5" s="16" t="s">
        <v>7</v>
      </c>
      <c r="B5" s="17">
        <v>4</v>
      </c>
      <c r="C5" s="17">
        <v>4</v>
      </c>
      <c r="D5" s="17">
        <v>3</v>
      </c>
      <c r="E5" s="18">
        <v>0.2</v>
      </c>
    </row>
    <row r="6" spans="1:5" ht="19.5" customHeight="1" x14ac:dyDescent="0.25">
      <c r="A6" s="19" t="s">
        <v>8</v>
      </c>
      <c r="B6" s="20">
        <v>5</v>
      </c>
      <c r="C6" s="20">
        <v>4</v>
      </c>
      <c r="D6" s="20">
        <v>5</v>
      </c>
      <c r="E6" s="21">
        <v>0.2</v>
      </c>
    </row>
    <row r="7" spans="1:5" ht="19.5" customHeight="1" x14ac:dyDescent="0.25">
      <c r="A7" s="16" t="s">
        <v>9</v>
      </c>
      <c r="B7" s="17">
        <v>4</v>
      </c>
      <c r="C7" s="17">
        <v>3</v>
      </c>
      <c r="D7" s="17">
        <v>4</v>
      </c>
      <c r="E7" s="18">
        <v>0.25</v>
      </c>
    </row>
    <row r="8" spans="1:5" ht="19.5" customHeight="1" x14ac:dyDescent="0.25">
      <c r="A8" s="19" t="s">
        <v>10</v>
      </c>
      <c r="B8" s="20">
        <v>5</v>
      </c>
      <c r="C8" s="20">
        <v>5</v>
      </c>
      <c r="D8" s="20">
        <v>4</v>
      </c>
      <c r="E8" s="21">
        <v>0.2</v>
      </c>
    </row>
    <row r="9" spans="1:5" ht="19.5" customHeight="1" x14ac:dyDescent="0.25">
      <c r="A9" s="16" t="s">
        <v>11</v>
      </c>
      <c r="B9" s="17">
        <v>4</v>
      </c>
      <c r="C9" s="17">
        <v>3</v>
      </c>
      <c r="D9" s="17">
        <v>5</v>
      </c>
      <c r="E9" s="18">
        <v>0.15</v>
      </c>
    </row>
    <row r="10" spans="1:5" x14ac:dyDescent="0.25">
      <c r="A10" s="22" t="s">
        <v>12</v>
      </c>
      <c r="B10" s="23">
        <f>SUMPRODUCT(B5:B9,$E$5:$E$9)</f>
        <v>4.3999999999999995</v>
      </c>
      <c r="C10" s="23">
        <f>SUMPRODUCT(C5:C9,$E$5:$E$9)</f>
        <v>3.8</v>
      </c>
      <c r="D10" s="23">
        <f>SUMPRODUCT(D5:D9,$E$5:$E$9)</f>
        <v>4.1500000000000004</v>
      </c>
      <c r="E10" s="24">
        <f>SUM(E5:E9)</f>
        <v>1</v>
      </c>
    </row>
    <row r="11" spans="1:5" x14ac:dyDescent="0.25">
      <c r="A11" s="16" t="s">
        <v>13</v>
      </c>
      <c r="B11" s="25">
        <f>B10/5</f>
        <v>0.87999999999999989</v>
      </c>
      <c r="C11" s="25">
        <f>C10/5</f>
        <v>0.76</v>
      </c>
      <c r="D11" s="25">
        <f>D10/5</f>
        <v>0.83000000000000007</v>
      </c>
      <c r="E11" s="26"/>
    </row>
    <row r="12" spans="1:5" x14ac:dyDescent="0.25">
      <c r="A12" s="16" t="s">
        <v>14</v>
      </c>
      <c r="B12" s="27">
        <f>RANK(B10,$B$10:$D$10)</f>
        <v>1</v>
      </c>
      <c r="C12" s="27">
        <f>RANK(C10,$B$10:$D$10)</f>
        <v>3</v>
      </c>
      <c r="D12" s="27">
        <f>RANK(D10,$B$10:$D$10)</f>
        <v>2</v>
      </c>
      <c r="E12" s="26"/>
    </row>
    <row r="14" spans="1:5" ht="21.75" customHeight="1" x14ac:dyDescent="0.25">
      <c r="A14" s="28" t="s">
        <v>15</v>
      </c>
      <c r="B14" s="12" t="str">
        <f>SUBSTITUTE(INDEX($B$4:$D$4,MATCH(MAX($B$10:$D$10),$B$10:$D$10,0)),CHAR(10)," ")</f>
        <v>Problema 1 Ciberseguridad (tráfico de red cifrado)</v>
      </c>
      <c r="C14" s="12"/>
      <c r="D14" s="12"/>
      <c r="E14" s="12"/>
    </row>
    <row r="16" spans="1:5" x14ac:dyDescent="0.25">
      <c r="A16" s="11" t="s">
        <v>16</v>
      </c>
      <c r="B16" s="11"/>
      <c r="C16" s="11"/>
      <c r="D16" s="11"/>
      <c r="E16" s="11"/>
    </row>
    <row r="17" spans="1:5" x14ac:dyDescent="0.25">
      <c r="A17" s="15" t="s">
        <v>17</v>
      </c>
      <c r="B17" s="15" t="s">
        <v>18</v>
      </c>
      <c r="C17" s="15" t="s">
        <v>19</v>
      </c>
      <c r="D17" s="15" t="s">
        <v>20</v>
      </c>
      <c r="E17" s="15" t="s">
        <v>6</v>
      </c>
    </row>
    <row r="18" spans="1:5" x14ac:dyDescent="0.25">
      <c r="A18" s="29" t="str">
        <f>A5</f>
        <v>ESPECÍFICO (1-5)</v>
      </c>
      <c r="B18" s="30">
        <f>B5*$E$5</f>
        <v>0.8</v>
      </c>
      <c r="C18" s="30">
        <f>C5*$E$5</f>
        <v>0.8</v>
      </c>
      <c r="D18" s="30">
        <f>D5*$E$5</f>
        <v>0.60000000000000009</v>
      </c>
      <c r="E18" s="31">
        <f>E5</f>
        <v>0.2</v>
      </c>
    </row>
    <row r="19" spans="1:5" x14ac:dyDescent="0.25">
      <c r="A19" s="29" t="str">
        <f>A6</f>
        <v>MEDIBLE (1-5)</v>
      </c>
      <c r="B19" s="30">
        <f>B6*$E$6</f>
        <v>1</v>
      </c>
      <c r="C19" s="30">
        <f>C6*$E$6</f>
        <v>0.8</v>
      </c>
      <c r="D19" s="30">
        <f>D6*$E$6</f>
        <v>1</v>
      </c>
      <c r="E19" s="31">
        <f>E6</f>
        <v>0.2</v>
      </c>
    </row>
    <row r="20" spans="1:5" x14ac:dyDescent="0.25">
      <c r="A20" s="29" t="str">
        <f>A7</f>
        <v>ALCANZABLE (1-5)</v>
      </c>
      <c r="B20" s="30">
        <f>B7*$E$7</f>
        <v>1</v>
      </c>
      <c r="C20" s="30">
        <f>C7*$E$7</f>
        <v>0.75</v>
      </c>
      <c r="D20" s="30">
        <f>D7*$E$7</f>
        <v>1</v>
      </c>
      <c r="E20" s="31">
        <f>E7</f>
        <v>0.25</v>
      </c>
    </row>
    <row r="21" spans="1:5" x14ac:dyDescent="0.25">
      <c r="A21" s="29" t="str">
        <f>A8</f>
        <v>RELEVANTE (1-5)</v>
      </c>
      <c r="B21" s="30">
        <f>B8*$E$8</f>
        <v>1</v>
      </c>
      <c r="C21" s="30">
        <f>C8*$E$8</f>
        <v>1</v>
      </c>
      <c r="D21" s="30">
        <f>D8*$E$8</f>
        <v>0.8</v>
      </c>
      <c r="E21" s="31">
        <f>E8</f>
        <v>0.2</v>
      </c>
    </row>
    <row r="22" spans="1:5" x14ac:dyDescent="0.25">
      <c r="A22" s="29" t="str">
        <f>A9</f>
        <v>TEMPORAL (1-5)</v>
      </c>
      <c r="B22" s="30">
        <f>B9*$E$9</f>
        <v>0.6</v>
      </c>
      <c r="C22" s="30">
        <f>C9*$E$9</f>
        <v>0.44999999999999996</v>
      </c>
      <c r="D22" s="30">
        <f>D9*$E$9</f>
        <v>0.75</v>
      </c>
      <c r="E22" s="31">
        <f>E9</f>
        <v>0.15</v>
      </c>
    </row>
    <row r="23" spans="1:5" ht="25.5" x14ac:dyDescent="0.25">
      <c r="A23" s="32" t="s">
        <v>21</v>
      </c>
      <c r="B23" s="33">
        <f>SUM(B18:B22)</f>
        <v>4.3999999999999995</v>
      </c>
      <c r="C23" s="33">
        <f>SUM(C18:C22)</f>
        <v>3.8</v>
      </c>
      <c r="D23" s="33">
        <f>SUM(D18:D22)</f>
        <v>4.1500000000000004</v>
      </c>
      <c r="E23" s="24">
        <f>SUM(E18:E22)</f>
        <v>1</v>
      </c>
    </row>
    <row r="25" spans="1:5" ht="15" customHeight="1" x14ac:dyDescent="0.25">
      <c r="A25" s="10" t="s">
        <v>22</v>
      </c>
      <c r="B25" s="10"/>
      <c r="C25" s="10"/>
      <c r="D25" s="10"/>
      <c r="E25" s="10"/>
    </row>
    <row r="26" spans="1:5" x14ac:dyDescent="0.25">
      <c r="A26" s="10"/>
      <c r="B26" s="10"/>
      <c r="C26" s="10"/>
      <c r="D26" s="10"/>
      <c r="E26" s="10"/>
    </row>
    <row r="27" spans="1:5" x14ac:dyDescent="0.25">
      <c r="A27" s="10"/>
      <c r="B27" s="10"/>
      <c r="C27" s="10"/>
      <c r="D27" s="10"/>
      <c r="E27" s="10"/>
    </row>
  </sheetData>
  <mergeCells count="5">
    <mergeCell ref="A1:E1"/>
    <mergeCell ref="A2:E2"/>
    <mergeCell ref="B14:E14"/>
    <mergeCell ref="A16:E16"/>
    <mergeCell ref="A25:E27"/>
  </mergeCells>
  <pageMargins left="0.75" right="0.75" top="1" bottom="1"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20"/>
  <sheetViews>
    <sheetView showGridLines="0" zoomScaleNormal="100" workbookViewId="0">
      <pane ySplit="3" topLeftCell="A5" activePane="bottomLeft" state="frozen"/>
      <selection pane="bottomLeft" activeCell="D5" sqref="D5"/>
    </sheetView>
  </sheetViews>
  <sheetFormatPr baseColWidth="10" defaultColWidth="8.7109375" defaultRowHeight="15" x14ac:dyDescent="0.25"/>
  <cols>
    <col min="1" max="1" width="14" customWidth="1"/>
    <col min="2" max="2" width="20" customWidth="1"/>
    <col min="3" max="3" width="9" customWidth="1"/>
    <col min="4" max="4" width="70" customWidth="1"/>
    <col min="5" max="5" width="38" customWidth="1"/>
    <col min="6" max="6" width="10" customWidth="1"/>
    <col min="7" max="7" width="30" customWidth="1"/>
  </cols>
  <sheetData>
    <row r="1" spans="1:7" ht="27.75" customHeight="1" x14ac:dyDescent="0.25">
      <c r="A1" s="14" t="s">
        <v>23</v>
      </c>
      <c r="B1" s="14"/>
      <c r="C1" s="14"/>
      <c r="D1" s="14"/>
      <c r="E1" s="14"/>
      <c r="F1" s="14"/>
    </row>
    <row r="3" spans="1:7" ht="30" customHeight="1" x14ac:dyDescent="0.25">
      <c r="A3" s="15" t="s">
        <v>17</v>
      </c>
      <c r="B3" s="15" t="s">
        <v>24</v>
      </c>
      <c r="C3" s="15" t="s">
        <v>25</v>
      </c>
      <c r="D3" s="15" t="s">
        <v>26</v>
      </c>
      <c r="E3" s="15" t="s">
        <v>27</v>
      </c>
      <c r="F3" s="15" t="s">
        <v>28</v>
      </c>
      <c r="G3" s="15" t="s">
        <v>29</v>
      </c>
    </row>
    <row r="4" spans="1:7" ht="117.75" customHeight="1" x14ac:dyDescent="0.25">
      <c r="A4" s="34" t="s">
        <v>30</v>
      </c>
      <c r="B4" s="29" t="s">
        <v>31</v>
      </c>
      <c r="C4" s="35">
        <f>Matriz!B5</f>
        <v>4</v>
      </c>
      <c r="D4" s="29" t="s">
        <v>32</v>
      </c>
      <c r="E4" s="29" t="s">
        <v>33</v>
      </c>
      <c r="F4" s="36">
        <f t="shared" ref="F4:F18" si="0">LEN(TRIM(D4))-LEN(SUBSTITUTE(TRIM(D4)," ",""))+1</f>
        <v>67</v>
      </c>
      <c r="G4" s="29" t="s">
        <v>34</v>
      </c>
    </row>
    <row r="5" spans="1:7" ht="117.75" customHeight="1" x14ac:dyDescent="0.25">
      <c r="A5" s="34" t="s">
        <v>30</v>
      </c>
      <c r="B5" s="29" t="s">
        <v>35</v>
      </c>
      <c r="C5" s="35">
        <f>Matriz!C5</f>
        <v>4</v>
      </c>
      <c r="D5" s="29" t="s">
        <v>36</v>
      </c>
      <c r="E5" s="29" t="s">
        <v>37</v>
      </c>
      <c r="F5" s="36">
        <f t="shared" si="0"/>
        <v>64</v>
      </c>
      <c r="G5" s="29" t="s">
        <v>34</v>
      </c>
    </row>
    <row r="6" spans="1:7" ht="117.75" customHeight="1" x14ac:dyDescent="0.25">
      <c r="A6" s="34" t="s">
        <v>30</v>
      </c>
      <c r="B6" s="29" t="s">
        <v>38</v>
      </c>
      <c r="C6" s="35">
        <f>Matriz!D5</f>
        <v>3</v>
      </c>
      <c r="D6" s="29" t="s">
        <v>39</v>
      </c>
      <c r="E6" s="29" t="s">
        <v>40</v>
      </c>
      <c r="F6" s="36">
        <f t="shared" si="0"/>
        <v>61</v>
      </c>
      <c r="G6" s="29" t="s">
        <v>34</v>
      </c>
    </row>
    <row r="7" spans="1:7" ht="117.75" customHeight="1" x14ac:dyDescent="0.25">
      <c r="A7" s="37" t="s">
        <v>41</v>
      </c>
      <c r="B7" s="38" t="s">
        <v>31</v>
      </c>
      <c r="C7" s="39">
        <f>Matriz!B6</f>
        <v>5</v>
      </c>
      <c r="D7" s="38" t="s">
        <v>42</v>
      </c>
      <c r="E7" s="38" t="s">
        <v>43</v>
      </c>
      <c r="F7" s="40">
        <f t="shared" si="0"/>
        <v>62</v>
      </c>
      <c r="G7" s="38" t="s">
        <v>44</v>
      </c>
    </row>
    <row r="8" spans="1:7" ht="117.75" customHeight="1" x14ac:dyDescent="0.25">
      <c r="A8" s="37" t="s">
        <v>41</v>
      </c>
      <c r="B8" s="38" t="s">
        <v>35</v>
      </c>
      <c r="C8" s="39">
        <f>Matriz!C6</f>
        <v>4</v>
      </c>
      <c r="D8" s="38" t="s">
        <v>45</v>
      </c>
      <c r="E8" s="38" t="s">
        <v>46</v>
      </c>
      <c r="F8" s="40">
        <f t="shared" si="0"/>
        <v>64</v>
      </c>
      <c r="G8" s="38" t="s">
        <v>44</v>
      </c>
    </row>
    <row r="9" spans="1:7" ht="117.75" customHeight="1" x14ac:dyDescent="0.25">
      <c r="A9" s="37" t="s">
        <v>41</v>
      </c>
      <c r="B9" s="38" t="s">
        <v>38</v>
      </c>
      <c r="C9" s="39">
        <f>Matriz!D6</f>
        <v>5</v>
      </c>
      <c r="D9" s="38" t="s">
        <v>47</v>
      </c>
      <c r="E9" s="38" t="s">
        <v>48</v>
      </c>
      <c r="F9" s="40">
        <f t="shared" si="0"/>
        <v>60</v>
      </c>
      <c r="G9" s="38" t="s">
        <v>44</v>
      </c>
    </row>
    <row r="10" spans="1:7" ht="117.75" customHeight="1" x14ac:dyDescent="0.25">
      <c r="A10" s="34" t="s">
        <v>49</v>
      </c>
      <c r="B10" s="29" t="s">
        <v>31</v>
      </c>
      <c r="C10" s="35">
        <f>Matriz!B7</f>
        <v>4</v>
      </c>
      <c r="D10" s="29" t="s">
        <v>50</v>
      </c>
      <c r="E10" s="29" t="s">
        <v>51</v>
      </c>
      <c r="F10" s="36">
        <f t="shared" si="0"/>
        <v>66</v>
      </c>
      <c r="G10" s="29" t="s">
        <v>52</v>
      </c>
    </row>
    <row r="11" spans="1:7" ht="117.75" customHeight="1" x14ac:dyDescent="0.25">
      <c r="A11" s="34" t="s">
        <v>49</v>
      </c>
      <c r="B11" s="29" t="s">
        <v>35</v>
      </c>
      <c r="C11" s="35">
        <f>Matriz!C7</f>
        <v>3</v>
      </c>
      <c r="D11" s="29" t="s">
        <v>53</v>
      </c>
      <c r="E11" s="29" t="s">
        <v>54</v>
      </c>
      <c r="F11" s="36">
        <f t="shared" si="0"/>
        <v>62</v>
      </c>
      <c r="G11" s="29" t="s">
        <v>52</v>
      </c>
    </row>
    <row r="12" spans="1:7" ht="117.75" customHeight="1" x14ac:dyDescent="0.25">
      <c r="A12" s="34" t="s">
        <v>49</v>
      </c>
      <c r="B12" s="29" t="s">
        <v>38</v>
      </c>
      <c r="C12" s="35">
        <f>Matriz!D7</f>
        <v>4</v>
      </c>
      <c r="D12" s="29" t="s">
        <v>55</v>
      </c>
      <c r="E12" s="29" t="s">
        <v>56</v>
      </c>
      <c r="F12" s="36">
        <f t="shared" si="0"/>
        <v>61</v>
      </c>
      <c r="G12" s="29" t="s">
        <v>52</v>
      </c>
    </row>
    <row r="13" spans="1:7" ht="117.75" customHeight="1" x14ac:dyDescent="0.25">
      <c r="A13" s="37" t="s">
        <v>57</v>
      </c>
      <c r="B13" s="38" t="s">
        <v>31</v>
      </c>
      <c r="C13" s="39">
        <f>Matriz!B8</f>
        <v>5</v>
      </c>
      <c r="D13" s="38" t="s">
        <v>58</v>
      </c>
      <c r="E13" s="38" t="s">
        <v>59</v>
      </c>
      <c r="F13" s="40">
        <f t="shared" si="0"/>
        <v>65</v>
      </c>
      <c r="G13" s="38" t="s">
        <v>60</v>
      </c>
    </row>
    <row r="14" spans="1:7" ht="117.75" customHeight="1" x14ac:dyDescent="0.25">
      <c r="A14" s="37" t="s">
        <v>57</v>
      </c>
      <c r="B14" s="38" t="s">
        <v>35</v>
      </c>
      <c r="C14" s="39">
        <f>Matriz!C8</f>
        <v>5</v>
      </c>
      <c r="D14" s="38" t="s">
        <v>61</v>
      </c>
      <c r="E14" s="38" t="s">
        <v>62</v>
      </c>
      <c r="F14" s="40">
        <f t="shared" si="0"/>
        <v>66</v>
      </c>
      <c r="G14" s="38" t="s">
        <v>60</v>
      </c>
    </row>
    <row r="15" spans="1:7" ht="117.75" customHeight="1" x14ac:dyDescent="0.25">
      <c r="A15" s="37" t="s">
        <v>57</v>
      </c>
      <c r="B15" s="38" t="s">
        <v>38</v>
      </c>
      <c r="C15" s="39">
        <f>Matriz!D8</f>
        <v>4</v>
      </c>
      <c r="D15" s="38" t="s">
        <v>63</v>
      </c>
      <c r="E15" s="38" t="s">
        <v>64</v>
      </c>
      <c r="F15" s="40">
        <f t="shared" si="0"/>
        <v>65</v>
      </c>
      <c r="G15" s="38" t="s">
        <v>60</v>
      </c>
    </row>
    <row r="16" spans="1:7" ht="117.75" customHeight="1" x14ac:dyDescent="0.25">
      <c r="A16" s="34" t="s">
        <v>65</v>
      </c>
      <c r="B16" s="29" t="s">
        <v>31</v>
      </c>
      <c r="C16" s="35">
        <f>Matriz!B9</f>
        <v>4</v>
      </c>
      <c r="D16" s="29" t="s">
        <v>66</v>
      </c>
      <c r="E16" s="29" t="s">
        <v>67</v>
      </c>
      <c r="F16" s="36">
        <f t="shared" si="0"/>
        <v>62</v>
      </c>
      <c r="G16" s="29" t="s">
        <v>68</v>
      </c>
    </row>
    <row r="17" spans="1:7" ht="117.75" customHeight="1" x14ac:dyDescent="0.25">
      <c r="A17" s="34" t="s">
        <v>65</v>
      </c>
      <c r="B17" s="29" t="s">
        <v>35</v>
      </c>
      <c r="C17" s="35">
        <f>Matriz!C9</f>
        <v>3</v>
      </c>
      <c r="D17" s="29" t="s">
        <v>69</v>
      </c>
      <c r="E17" s="29" t="s">
        <v>70</v>
      </c>
      <c r="F17" s="36">
        <f t="shared" si="0"/>
        <v>64</v>
      </c>
      <c r="G17" s="29" t="s">
        <v>68</v>
      </c>
    </row>
    <row r="18" spans="1:7" ht="117.75" customHeight="1" x14ac:dyDescent="0.25">
      <c r="A18" s="34" t="s">
        <v>65</v>
      </c>
      <c r="B18" s="29" t="s">
        <v>38</v>
      </c>
      <c r="C18" s="35">
        <f>Matriz!D9</f>
        <v>5</v>
      </c>
      <c r="D18" s="29" t="s">
        <v>71</v>
      </c>
      <c r="E18" s="29" t="s">
        <v>72</v>
      </c>
      <c r="F18" s="36">
        <f t="shared" si="0"/>
        <v>58</v>
      </c>
      <c r="G18" s="29" t="s">
        <v>68</v>
      </c>
    </row>
    <row r="20" spans="1:7" x14ac:dyDescent="0.25">
      <c r="A20" s="41" t="s">
        <v>73</v>
      </c>
    </row>
  </sheetData>
  <mergeCells count="1">
    <mergeCell ref="A1:F1"/>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66"/>
  <sheetViews>
    <sheetView showGridLines="0" zoomScaleNormal="100" workbookViewId="0">
      <pane xSplit="1" ySplit="4" topLeftCell="B5" activePane="bottomRight" state="frozen"/>
      <selection pane="topRight" activeCell="B1" sqref="B1"/>
      <selection pane="bottomLeft" activeCell="A5" sqref="A5"/>
      <selection pane="bottomRight" sqref="A1:D1"/>
    </sheetView>
  </sheetViews>
  <sheetFormatPr baseColWidth="10" defaultColWidth="8.7109375" defaultRowHeight="15" x14ac:dyDescent="0.25"/>
  <cols>
    <col min="1" max="1" width="30" customWidth="1"/>
    <col min="2" max="2" width="46" customWidth="1"/>
    <col min="3" max="4" width="40" customWidth="1"/>
  </cols>
  <sheetData>
    <row r="1" spans="1:4" ht="27.75" customHeight="1" x14ac:dyDescent="0.25">
      <c r="A1" s="14" t="s">
        <v>74</v>
      </c>
      <c r="B1" s="14"/>
      <c r="C1" s="14"/>
      <c r="D1" s="14"/>
    </row>
    <row r="2" spans="1:4" ht="27.75" customHeight="1" x14ac:dyDescent="0.25">
      <c r="A2" s="13" t="s">
        <v>75</v>
      </c>
      <c r="B2" s="13"/>
      <c r="C2" s="13"/>
      <c r="D2" s="13"/>
    </row>
    <row r="4" spans="1:4" ht="33.75" customHeight="1" x14ac:dyDescent="0.25">
      <c r="A4" s="15" t="s">
        <v>76</v>
      </c>
      <c r="B4" s="15" t="s">
        <v>77</v>
      </c>
      <c r="C4" s="15" t="s">
        <v>78</v>
      </c>
      <c r="D4" s="15" t="s">
        <v>79</v>
      </c>
    </row>
    <row r="5" spans="1:4" ht="19.5" customHeight="1" x14ac:dyDescent="0.25">
      <c r="A5" s="9" t="s">
        <v>80</v>
      </c>
      <c r="B5" s="9"/>
      <c r="C5" s="9"/>
      <c r="D5" s="9"/>
    </row>
    <row r="6" spans="1:4" ht="43.5" customHeight="1" x14ac:dyDescent="0.25">
      <c r="A6" s="42" t="s">
        <v>81</v>
      </c>
      <c r="B6" s="29" t="s">
        <v>82</v>
      </c>
      <c r="C6" s="29" t="s">
        <v>83</v>
      </c>
      <c r="D6" s="29" t="s">
        <v>84</v>
      </c>
    </row>
    <row r="7" spans="1:4" ht="15.75" customHeight="1" x14ac:dyDescent="0.25">
      <c r="A7" s="42" t="s">
        <v>85</v>
      </c>
      <c r="B7" s="29" t="s">
        <v>86</v>
      </c>
      <c r="C7" s="29" t="s">
        <v>86</v>
      </c>
      <c r="D7" s="29" t="s">
        <v>86</v>
      </c>
    </row>
    <row r="8" spans="1:4" ht="15.75" customHeight="1" x14ac:dyDescent="0.25">
      <c r="A8" s="42" t="s">
        <v>87</v>
      </c>
      <c r="B8" s="29" t="s">
        <v>88</v>
      </c>
      <c r="C8" s="29" t="s">
        <v>88</v>
      </c>
      <c r="D8" s="29" t="s">
        <v>88</v>
      </c>
    </row>
    <row r="9" spans="1:4" ht="30" customHeight="1" x14ac:dyDescent="0.25">
      <c r="A9" s="42" t="s">
        <v>89</v>
      </c>
      <c r="B9" s="29" t="s">
        <v>90</v>
      </c>
      <c r="C9" s="29" t="s">
        <v>91</v>
      </c>
      <c r="D9" s="29" t="s">
        <v>92</v>
      </c>
    </row>
    <row r="10" spans="1:4" ht="19.5" customHeight="1" x14ac:dyDescent="0.25">
      <c r="A10" s="9" t="s">
        <v>93</v>
      </c>
      <c r="B10" s="9"/>
      <c r="C10" s="9"/>
      <c r="D10" s="9"/>
    </row>
    <row r="11" spans="1:4" ht="43.5" customHeight="1" x14ac:dyDescent="0.25">
      <c r="A11" s="42" t="s">
        <v>94</v>
      </c>
      <c r="B11" s="29" t="s">
        <v>95</v>
      </c>
      <c r="C11" s="29" t="s">
        <v>96</v>
      </c>
      <c r="D11" s="29" t="s">
        <v>97</v>
      </c>
    </row>
    <row r="12" spans="1:4" ht="30" customHeight="1" x14ac:dyDescent="0.25">
      <c r="A12" s="42" t="s">
        <v>98</v>
      </c>
      <c r="B12" s="29" t="s">
        <v>99</v>
      </c>
      <c r="C12" s="29" t="s">
        <v>100</v>
      </c>
      <c r="D12" s="29" t="s">
        <v>101</v>
      </c>
    </row>
    <row r="13" spans="1:4" ht="43.5" customHeight="1" x14ac:dyDescent="0.25">
      <c r="A13" s="42" t="s">
        <v>102</v>
      </c>
      <c r="B13" s="29" t="s">
        <v>103</v>
      </c>
      <c r="C13" s="29" t="s">
        <v>104</v>
      </c>
      <c r="D13" s="29" t="s">
        <v>105</v>
      </c>
    </row>
    <row r="14" spans="1:4" ht="43.5" customHeight="1" x14ac:dyDescent="0.25">
      <c r="A14" s="42" t="s">
        <v>106</v>
      </c>
      <c r="B14" s="29" t="s">
        <v>107</v>
      </c>
      <c r="C14" s="29" t="s">
        <v>108</v>
      </c>
      <c r="D14" s="29" t="s">
        <v>109</v>
      </c>
    </row>
    <row r="15" spans="1:4" ht="15.75" customHeight="1" x14ac:dyDescent="0.25">
      <c r="A15" s="42" t="s">
        <v>110</v>
      </c>
      <c r="B15" s="29" t="s">
        <v>111</v>
      </c>
      <c r="C15" s="29" t="s">
        <v>112</v>
      </c>
      <c r="D15" s="29" t="s">
        <v>113</v>
      </c>
    </row>
    <row r="16" spans="1:4" ht="15.75" customHeight="1" x14ac:dyDescent="0.25">
      <c r="A16" s="42" t="s">
        <v>114</v>
      </c>
      <c r="B16" s="29" t="s">
        <v>115</v>
      </c>
      <c r="C16" s="29" t="s">
        <v>116</v>
      </c>
      <c r="D16" s="29" t="s">
        <v>117</v>
      </c>
    </row>
    <row r="17" spans="1:4" ht="19.5" customHeight="1" x14ac:dyDescent="0.25">
      <c r="A17" s="9" t="s">
        <v>118</v>
      </c>
      <c r="B17" s="9"/>
      <c r="C17" s="9"/>
      <c r="D17" s="9"/>
    </row>
    <row r="18" spans="1:4" ht="30" customHeight="1" x14ac:dyDescent="0.25">
      <c r="A18" s="42" t="s">
        <v>119</v>
      </c>
      <c r="B18" s="29" t="s">
        <v>120</v>
      </c>
      <c r="C18" s="29" t="s">
        <v>121</v>
      </c>
      <c r="D18" s="29" t="s">
        <v>122</v>
      </c>
    </row>
    <row r="19" spans="1:4" ht="15.75" customHeight="1" x14ac:dyDescent="0.25">
      <c r="A19" s="42" t="s">
        <v>123</v>
      </c>
      <c r="B19" s="29" t="s">
        <v>124</v>
      </c>
      <c r="C19" s="29" t="s">
        <v>125</v>
      </c>
      <c r="D19" s="29" t="s">
        <v>126</v>
      </c>
    </row>
    <row r="20" spans="1:4" ht="15.75" customHeight="1" x14ac:dyDescent="0.25">
      <c r="A20" s="42" t="s">
        <v>127</v>
      </c>
      <c r="B20" s="29" t="s">
        <v>128</v>
      </c>
      <c r="C20" s="29" t="s">
        <v>129</v>
      </c>
      <c r="D20" s="29" t="s">
        <v>130</v>
      </c>
    </row>
    <row r="21" spans="1:4" ht="15.75" customHeight="1" x14ac:dyDescent="0.25">
      <c r="A21" s="42" t="s">
        <v>131</v>
      </c>
      <c r="B21" s="29" t="s">
        <v>132</v>
      </c>
      <c r="C21" s="29" t="s">
        <v>133</v>
      </c>
      <c r="D21" s="29" t="s">
        <v>134</v>
      </c>
    </row>
    <row r="22" spans="1:4" ht="30" customHeight="1" x14ac:dyDescent="0.25">
      <c r="A22" s="42" t="s">
        <v>135</v>
      </c>
      <c r="B22" s="29" t="s">
        <v>136</v>
      </c>
      <c r="C22" s="29" t="s">
        <v>137</v>
      </c>
      <c r="D22" s="29" t="s">
        <v>138</v>
      </c>
    </row>
    <row r="23" spans="1:4" ht="30" customHeight="1" x14ac:dyDescent="0.25">
      <c r="A23" s="42" t="s">
        <v>139</v>
      </c>
      <c r="B23" s="29" t="s">
        <v>140</v>
      </c>
      <c r="C23" s="29" t="s">
        <v>141</v>
      </c>
      <c r="D23" s="29" t="s">
        <v>141</v>
      </c>
    </row>
    <row r="24" spans="1:4" ht="30" customHeight="1" x14ac:dyDescent="0.25">
      <c r="A24" s="42" t="s">
        <v>142</v>
      </c>
      <c r="B24" s="29" t="s">
        <v>143</v>
      </c>
      <c r="C24" s="29" t="s">
        <v>144</v>
      </c>
      <c r="D24" s="29" t="s">
        <v>145</v>
      </c>
    </row>
    <row r="25" spans="1:4" ht="30" customHeight="1" x14ac:dyDescent="0.25">
      <c r="A25" s="42" t="s">
        <v>146</v>
      </c>
      <c r="B25" s="29" t="s">
        <v>147</v>
      </c>
      <c r="C25" s="29" t="s">
        <v>148</v>
      </c>
      <c r="D25" s="29" t="s">
        <v>149</v>
      </c>
    </row>
    <row r="26" spans="1:4" ht="15.75" customHeight="1" x14ac:dyDescent="0.25">
      <c r="A26" s="42" t="s">
        <v>150</v>
      </c>
      <c r="B26" s="29" t="s">
        <v>151</v>
      </c>
      <c r="C26" s="29" t="s">
        <v>151</v>
      </c>
      <c r="D26" s="29" t="s">
        <v>151</v>
      </c>
    </row>
    <row r="27" spans="1:4" ht="30" customHeight="1" x14ac:dyDescent="0.25">
      <c r="A27" s="42" t="s">
        <v>152</v>
      </c>
      <c r="B27" s="29" t="s">
        <v>153</v>
      </c>
      <c r="C27" s="29" t="s">
        <v>154</v>
      </c>
      <c r="D27" s="29" t="s">
        <v>155</v>
      </c>
    </row>
    <row r="28" spans="1:4" ht="30" customHeight="1" x14ac:dyDescent="0.25">
      <c r="A28" s="42" t="s">
        <v>156</v>
      </c>
      <c r="B28" s="29" t="s">
        <v>157</v>
      </c>
      <c r="C28" s="29" t="s">
        <v>158</v>
      </c>
      <c r="D28" s="29" t="s">
        <v>159</v>
      </c>
    </row>
    <row r="29" spans="1:4" ht="19.5" customHeight="1" x14ac:dyDescent="0.25">
      <c r="A29" s="9" t="s">
        <v>160</v>
      </c>
      <c r="B29" s="9"/>
      <c r="C29" s="9"/>
      <c r="D29" s="9"/>
    </row>
    <row r="30" spans="1:4" ht="43.5" customHeight="1" x14ac:dyDescent="0.25">
      <c r="A30" s="42" t="s">
        <v>161</v>
      </c>
      <c r="B30" s="29" t="s">
        <v>162</v>
      </c>
      <c r="C30" s="29" t="s">
        <v>163</v>
      </c>
      <c r="D30" s="29" t="s">
        <v>164</v>
      </c>
    </row>
    <row r="31" spans="1:4" ht="30" customHeight="1" x14ac:dyDescent="0.25">
      <c r="A31" s="42" t="s">
        <v>165</v>
      </c>
      <c r="B31" s="29" t="s">
        <v>166</v>
      </c>
      <c r="C31" s="29" t="s">
        <v>167</v>
      </c>
      <c r="D31" s="29" t="s">
        <v>168</v>
      </c>
    </row>
    <row r="32" spans="1:4" ht="30" customHeight="1" x14ac:dyDescent="0.25">
      <c r="A32" s="42" t="s">
        <v>169</v>
      </c>
      <c r="B32" s="29" t="s">
        <v>170</v>
      </c>
      <c r="C32" s="29" t="s">
        <v>171</v>
      </c>
      <c r="D32" s="29" t="s">
        <v>172</v>
      </c>
    </row>
    <row r="33" spans="1:4" ht="30" customHeight="1" x14ac:dyDescent="0.25">
      <c r="A33" s="42" t="s">
        <v>173</v>
      </c>
      <c r="B33" s="29" t="s">
        <v>174</v>
      </c>
      <c r="C33" s="29" t="s">
        <v>175</v>
      </c>
      <c r="D33" s="29" t="s">
        <v>176</v>
      </c>
    </row>
    <row r="34" spans="1:4" ht="43.5" customHeight="1" x14ac:dyDescent="0.25">
      <c r="A34" s="42" t="s">
        <v>177</v>
      </c>
      <c r="B34" s="29" t="s">
        <v>178</v>
      </c>
      <c r="C34" s="29" t="s">
        <v>179</v>
      </c>
      <c r="D34" s="29" t="s">
        <v>180</v>
      </c>
    </row>
    <row r="35" spans="1:4" ht="30" customHeight="1" x14ac:dyDescent="0.25">
      <c r="A35" s="42" t="s">
        <v>181</v>
      </c>
      <c r="B35" s="29" t="s">
        <v>182</v>
      </c>
      <c r="C35" s="29" t="s">
        <v>183</v>
      </c>
      <c r="D35" s="29" t="s">
        <v>184</v>
      </c>
    </row>
    <row r="36" spans="1:4" ht="43.5" customHeight="1" x14ac:dyDescent="0.25">
      <c r="A36" s="42" t="s">
        <v>185</v>
      </c>
      <c r="B36" s="29" t="s">
        <v>186</v>
      </c>
      <c r="C36" s="29" t="s">
        <v>187</v>
      </c>
      <c r="D36" s="29" t="s">
        <v>188</v>
      </c>
    </row>
    <row r="37" spans="1:4" ht="19.5" customHeight="1" x14ac:dyDescent="0.25">
      <c r="A37" s="9" t="s">
        <v>189</v>
      </c>
      <c r="B37" s="9"/>
      <c r="C37" s="9"/>
      <c r="D37" s="9"/>
    </row>
    <row r="38" spans="1:4" ht="30" customHeight="1" x14ac:dyDescent="0.25">
      <c r="A38" s="42" t="s">
        <v>190</v>
      </c>
      <c r="B38" s="29" t="s">
        <v>191</v>
      </c>
      <c r="C38" s="29" t="s">
        <v>192</v>
      </c>
      <c r="D38" s="29" t="s">
        <v>193</v>
      </c>
    </row>
    <row r="39" spans="1:4" ht="30" customHeight="1" x14ac:dyDescent="0.25">
      <c r="A39" s="42" t="s">
        <v>194</v>
      </c>
      <c r="B39" s="29" t="s">
        <v>195</v>
      </c>
      <c r="C39" s="29" t="s">
        <v>196</v>
      </c>
      <c r="D39" s="29" t="s">
        <v>197</v>
      </c>
    </row>
    <row r="40" spans="1:4" ht="30" customHeight="1" x14ac:dyDescent="0.25">
      <c r="A40" s="42" t="s">
        <v>198</v>
      </c>
      <c r="B40" s="29" t="s">
        <v>199</v>
      </c>
      <c r="C40" s="29" t="s">
        <v>200</v>
      </c>
      <c r="D40" s="29" t="s">
        <v>201</v>
      </c>
    </row>
    <row r="41" spans="1:4" ht="30" customHeight="1" x14ac:dyDescent="0.25">
      <c r="A41" s="42" t="s">
        <v>202</v>
      </c>
      <c r="B41" s="29" t="s">
        <v>203</v>
      </c>
      <c r="C41" s="29" t="s">
        <v>204</v>
      </c>
      <c r="D41" s="29" t="s">
        <v>205</v>
      </c>
    </row>
    <row r="42" spans="1:4" ht="15.75" customHeight="1" x14ac:dyDescent="0.25">
      <c r="A42" s="42" t="s">
        <v>206</v>
      </c>
      <c r="B42" s="29" t="s">
        <v>207</v>
      </c>
      <c r="C42" s="29" t="s">
        <v>207</v>
      </c>
      <c r="D42" s="29" t="s">
        <v>208</v>
      </c>
    </row>
    <row r="43" spans="1:4" ht="43.5" customHeight="1" x14ac:dyDescent="0.25">
      <c r="A43" s="42" t="s">
        <v>209</v>
      </c>
      <c r="B43" s="29" t="s">
        <v>210</v>
      </c>
      <c r="C43" s="29" t="s">
        <v>211</v>
      </c>
      <c r="D43" s="29" t="s">
        <v>212</v>
      </c>
    </row>
    <row r="44" spans="1:4" ht="19.5" customHeight="1" x14ac:dyDescent="0.25">
      <c r="A44" s="9" t="s">
        <v>213</v>
      </c>
      <c r="B44" s="9"/>
      <c r="C44" s="9"/>
      <c r="D44" s="9"/>
    </row>
    <row r="45" spans="1:4" ht="30" customHeight="1" x14ac:dyDescent="0.25">
      <c r="A45" s="42" t="s">
        <v>214</v>
      </c>
      <c r="B45" s="29" t="s">
        <v>215</v>
      </c>
      <c r="C45" s="29" t="s">
        <v>216</v>
      </c>
      <c r="D45" s="29" t="s">
        <v>215</v>
      </c>
    </row>
    <row r="46" spans="1:4" ht="15.75" customHeight="1" x14ac:dyDescent="0.25">
      <c r="A46" s="42" t="s">
        <v>217</v>
      </c>
      <c r="B46" s="29" t="s">
        <v>218</v>
      </c>
      <c r="C46" s="29" t="s">
        <v>219</v>
      </c>
      <c r="D46" s="29" t="s">
        <v>220</v>
      </c>
    </row>
    <row r="47" spans="1:4" ht="15.75" customHeight="1" x14ac:dyDescent="0.25">
      <c r="A47" s="42" t="s">
        <v>221</v>
      </c>
      <c r="B47" s="29" t="s">
        <v>222</v>
      </c>
      <c r="C47" s="29" t="s">
        <v>223</v>
      </c>
      <c r="D47" s="29" t="s">
        <v>224</v>
      </c>
    </row>
    <row r="48" spans="1:4" ht="43.5" customHeight="1" x14ac:dyDescent="0.25">
      <c r="A48" s="42" t="s">
        <v>225</v>
      </c>
      <c r="B48" s="29" t="s">
        <v>226</v>
      </c>
      <c r="C48" s="29" t="s">
        <v>227</v>
      </c>
      <c r="D48" s="29" t="s">
        <v>228</v>
      </c>
    </row>
    <row r="49" spans="1:4" ht="19.5" customHeight="1" x14ac:dyDescent="0.25">
      <c r="A49" s="9" t="s">
        <v>229</v>
      </c>
      <c r="B49" s="9"/>
      <c r="C49" s="9"/>
      <c r="D49" s="9"/>
    </row>
    <row r="50" spans="1:4" ht="15.75" customHeight="1" x14ac:dyDescent="0.25">
      <c r="A50" s="42" t="s">
        <v>230</v>
      </c>
      <c r="B50" s="29" t="s">
        <v>231</v>
      </c>
      <c r="C50" s="29" t="s">
        <v>231</v>
      </c>
      <c r="D50" s="29" t="s">
        <v>232</v>
      </c>
    </row>
    <row r="51" spans="1:4" ht="30" customHeight="1" x14ac:dyDescent="0.25">
      <c r="A51" s="42" t="s">
        <v>233</v>
      </c>
      <c r="B51" s="29" t="s">
        <v>234</v>
      </c>
      <c r="C51" s="29" t="s">
        <v>235</v>
      </c>
      <c r="D51" s="29" t="s">
        <v>236</v>
      </c>
    </row>
    <row r="52" spans="1:4" ht="30" customHeight="1" x14ac:dyDescent="0.25">
      <c r="A52" s="42" t="s">
        <v>237</v>
      </c>
      <c r="B52" s="29" t="s">
        <v>238</v>
      </c>
      <c r="C52" s="29" t="s">
        <v>239</v>
      </c>
      <c r="D52" s="29" t="s">
        <v>240</v>
      </c>
    </row>
    <row r="53" spans="1:4" ht="15.75" customHeight="1" x14ac:dyDescent="0.25">
      <c r="A53" s="42" t="s">
        <v>241</v>
      </c>
      <c r="B53" s="29" t="s">
        <v>242</v>
      </c>
      <c r="C53" s="29" t="s">
        <v>242</v>
      </c>
      <c r="D53" s="29" t="s">
        <v>242</v>
      </c>
    </row>
    <row r="54" spans="1:4" ht="15.75" customHeight="1" x14ac:dyDescent="0.25">
      <c r="A54" s="42" t="s">
        <v>243</v>
      </c>
      <c r="B54" s="29" t="s">
        <v>244</v>
      </c>
      <c r="C54" s="29" t="s">
        <v>245</v>
      </c>
      <c r="D54" s="29" t="s">
        <v>246</v>
      </c>
    </row>
    <row r="55" spans="1:4" ht="15.75" customHeight="1" x14ac:dyDescent="0.25">
      <c r="A55" s="42" t="s">
        <v>247</v>
      </c>
      <c r="B55" s="29" t="s">
        <v>248</v>
      </c>
      <c r="C55" s="29" t="s">
        <v>249</v>
      </c>
      <c r="D55" s="29" t="s">
        <v>249</v>
      </c>
    </row>
    <row r="56" spans="1:4" ht="30" customHeight="1" x14ac:dyDescent="0.25">
      <c r="A56" s="42" t="s">
        <v>250</v>
      </c>
      <c r="B56" s="29" t="s">
        <v>251</v>
      </c>
      <c r="C56" s="29" t="s">
        <v>252</v>
      </c>
      <c r="D56" s="29" t="s">
        <v>252</v>
      </c>
    </row>
    <row r="58" spans="1:4" x14ac:dyDescent="0.25">
      <c r="A58" s="8" t="s">
        <v>253</v>
      </c>
      <c r="B58" s="8"/>
      <c r="C58" s="8"/>
      <c r="D58" s="8"/>
    </row>
    <row r="59" spans="1:4" x14ac:dyDescent="0.25">
      <c r="A59" s="15" t="s">
        <v>254</v>
      </c>
      <c r="B59" s="15" t="s">
        <v>255</v>
      </c>
      <c r="C59" s="15" t="s">
        <v>85</v>
      </c>
      <c r="D59" s="15" t="s">
        <v>256</v>
      </c>
    </row>
    <row r="60" spans="1:4" ht="30" customHeight="1" x14ac:dyDescent="0.25">
      <c r="A60" s="43" t="s">
        <v>257</v>
      </c>
      <c r="B60" s="29" t="s">
        <v>258</v>
      </c>
      <c r="C60" s="29" t="s">
        <v>259</v>
      </c>
      <c r="D60" s="29" t="s">
        <v>260</v>
      </c>
    </row>
    <row r="61" spans="1:4" ht="30" customHeight="1" x14ac:dyDescent="0.25">
      <c r="A61" s="43" t="s">
        <v>261</v>
      </c>
      <c r="B61" s="29" t="s">
        <v>262</v>
      </c>
      <c r="C61" s="29" t="s">
        <v>259</v>
      </c>
      <c r="D61" s="29" t="s">
        <v>260</v>
      </c>
    </row>
    <row r="62" spans="1:4" ht="30" customHeight="1" x14ac:dyDescent="0.25">
      <c r="A62" s="43" t="s">
        <v>263</v>
      </c>
      <c r="B62" s="29" t="s">
        <v>264</v>
      </c>
      <c r="C62" s="29" t="s">
        <v>265</v>
      </c>
      <c r="D62" s="29" t="s">
        <v>260</v>
      </c>
    </row>
    <row r="63" spans="1:4" ht="30" customHeight="1" x14ac:dyDescent="0.25">
      <c r="A63" s="43" t="s">
        <v>266</v>
      </c>
      <c r="B63" s="29" t="s">
        <v>267</v>
      </c>
      <c r="C63" s="29" t="s">
        <v>268</v>
      </c>
      <c r="D63" s="29" t="s">
        <v>260</v>
      </c>
    </row>
    <row r="64" spans="1:4" ht="30" customHeight="1" x14ac:dyDescent="0.25">
      <c r="A64" s="43" t="s">
        <v>269</v>
      </c>
      <c r="B64" s="29" t="s">
        <v>270</v>
      </c>
      <c r="C64" s="29" t="s">
        <v>271</v>
      </c>
      <c r="D64" s="29" t="s">
        <v>260</v>
      </c>
    </row>
    <row r="65" spans="1:4" ht="30" customHeight="1" x14ac:dyDescent="0.25">
      <c r="A65" s="43" t="s">
        <v>272</v>
      </c>
      <c r="B65" s="29" t="s">
        <v>273</v>
      </c>
      <c r="C65" s="29" t="s">
        <v>274</v>
      </c>
      <c r="D65" s="29" t="s">
        <v>260</v>
      </c>
    </row>
    <row r="66" spans="1:4" x14ac:dyDescent="0.25">
      <c r="A66" s="7" t="s">
        <v>275</v>
      </c>
      <c r="B66" s="7"/>
      <c r="C66" s="7"/>
      <c r="D66" s="7"/>
    </row>
  </sheetData>
  <mergeCells count="11">
    <mergeCell ref="A66:D66"/>
    <mergeCell ref="A29:D29"/>
    <mergeCell ref="A37:D37"/>
    <mergeCell ref="A44:D44"/>
    <mergeCell ref="A49:D49"/>
    <mergeCell ref="A58:D58"/>
    <mergeCell ref="A1:D1"/>
    <mergeCell ref="A2:D2"/>
    <mergeCell ref="A5:D5"/>
    <mergeCell ref="A10:D10"/>
    <mergeCell ref="A17:D17"/>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32"/>
  <sheetViews>
    <sheetView showGridLines="0" zoomScaleNormal="100" workbookViewId="0">
      <pane ySplit="8" topLeftCell="A12" activePane="bottomLeft" state="frozen"/>
      <selection pane="bottomLeft" sqref="A1:F1"/>
    </sheetView>
  </sheetViews>
  <sheetFormatPr baseColWidth="10" defaultColWidth="8.7109375" defaultRowHeight="15" x14ac:dyDescent="0.25"/>
  <cols>
    <col min="1" max="1" width="5" customWidth="1"/>
    <col min="2" max="2" width="20" customWidth="1"/>
    <col min="3" max="3" width="46" customWidth="1"/>
    <col min="4" max="5" width="13" customWidth="1"/>
    <col min="6" max="6" width="62" customWidth="1"/>
  </cols>
  <sheetData>
    <row r="1" spans="1:6" ht="27.75" customHeight="1" x14ac:dyDescent="0.25">
      <c r="A1" s="14" t="s">
        <v>276</v>
      </c>
      <c r="B1" s="14"/>
      <c r="C1" s="14"/>
      <c r="D1" s="14"/>
      <c r="E1" s="14"/>
      <c r="F1" s="14"/>
    </row>
    <row r="3" spans="1:6" ht="30" customHeight="1" x14ac:dyDescent="0.25">
      <c r="A3" s="6" t="s">
        <v>277</v>
      </c>
      <c r="B3" s="6"/>
      <c r="C3" s="5" t="s">
        <v>278</v>
      </c>
      <c r="D3" s="5"/>
      <c r="E3" s="5"/>
      <c r="F3" s="5"/>
    </row>
    <row r="4" spans="1:6" ht="15.75" customHeight="1" x14ac:dyDescent="0.25">
      <c r="A4" s="6" t="s">
        <v>279</v>
      </c>
      <c r="B4" s="6"/>
      <c r="C4" s="5" t="s">
        <v>280</v>
      </c>
      <c r="D4" s="5"/>
      <c r="E4" s="5"/>
      <c r="F4" s="5"/>
    </row>
    <row r="5" spans="1:6" ht="15.75" customHeight="1" x14ac:dyDescent="0.25">
      <c r="A5" s="6" t="s">
        <v>281</v>
      </c>
      <c r="B5" s="6"/>
      <c r="C5" s="5" t="s">
        <v>86</v>
      </c>
      <c r="D5" s="5"/>
      <c r="E5" s="5"/>
      <c r="F5" s="5"/>
    </row>
    <row r="7" spans="1:6" ht="54" customHeight="1" x14ac:dyDescent="0.25">
      <c r="A7" s="10" t="s">
        <v>282</v>
      </c>
      <c r="B7" s="10"/>
      <c r="C7" s="10"/>
      <c r="D7" s="10"/>
      <c r="E7" s="10"/>
      <c r="F7" s="10"/>
    </row>
    <row r="9" spans="1:6" ht="19.5" customHeight="1" x14ac:dyDescent="0.25">
      <c r="A9" s="4" t="s">
        <v>283</v>
      </c>
      <c r="B9" s="4"/>
      <c r="C9" s="4"/>
      <c r="D9" s="4"/>
      <c r="E9" s="4"/>
      <c r="F9" s="4"/>
    </row>
    <row r="10" spans="1:6" ht="25.5" x14ac:dyDescent="0.25">
      <c r="A10" s="15" t="s">
        <v>284</v>
      </c>
      <c r="B10" s="15" t="s">
        <v>285</v>
      </c>
      <c r="C10" s="15" t="s">
        <v>286</v>
      </c>
      <c r="D10" s="15" t="s">
        <v>287</v>
      </c>
      <c r="E10" s="15" t="s">
        <v>288</v>
      </c>
      <c r="F10" s="15" t="s">
        <v>289</v>
      </c>
    </row>
    <row r="11" spans="1:6" ht="42" customHeight="1" x14ac:dyDescent="0.25">
      <c r="A11" s="26">
        <v>1</v>
      </c>
      <c r="B11" s="29" t="s">
        <v>290</v>
      </c>
      <c r="C11" s="29" t="s">
        <v>291</v>
      </c>
      <c r="D11" s="44" t="s">
        <v>292</v>
      </c>
      <c r="E11" s="44" t="s">
        <v>293</v>
      </c>
      <c r="F11" s="29" t="s">
        <v>294</v>
      </c>
    </row>
    <row r="12" spans="1:6" ht="42" customHeight="1" x14ac:dyDescent="0.25">
      <c r="A12" s="26">
        <v>2</v>
      </c>
      <c r="B12" s="29" t="s">
        <v>290</v>
      </c>
      <c r="C12" s="29" t="s">
        <v>295</v>
      </c>
      <c r="D12" s="44" t="s">
        <v>293</v>
      </c>
      <c r="E12" s="44" t="s">
        <v>293</v>
      </c>
      <c r="F12" s="29" t="s">
        <v>296</v>
      </c>
    </row>
    <row r="13" spans="1:6" ht="42" customHeight="1" x14ac:dyDescent="0.25">
      <c r="A13" s="26">
        <v>3</v>
      </c>
      <c r="B13" s="29" t="s">
        <v>290</v>
      </c>
      <c r="C13" s="29" t="s">
        <v>297</v>
      </c>
      <c r="D13" s="44" t="s">
        <v>293</v>
      </c>
      <c r="E13" s="44" t="s">
        <v>293</v>
      </c>
      <c r="F13" s="29" t="s">
        <v>298</v>
      </c>
    </row>
    <row r="14" spans="1:6" ht="42" customHeight="1" x14ac:dyDescent="0.25">
      <c r="A14" s="26">
        <v>4</v>
      </c>
      <c r="B14" s="29" t="s">
        <v>290</v>
      </c>
      <c r="C14" s="29" t="s">
        <v>299</v>
      </c>
      <c r="D14" s="44" t="s">
        <v>292</v>
      </c>
      <c r="E14" s="44" t="s">
        <v>293</v>
      </c>
      <c r="F14" s="29" t="s">
        <v>300</v>
      </c>
    </row>
    <row r="15" spans="1:6" ht="42" customHeight="1" x14ac:dyDescent="0.25">
      <c r="A15" s="26">
        <v>5</v>
      </c>
      <c r="B15" s="29" t="s">
        <v>290</v>
      </c>
      <c r="C15" s="29" t="s">
        <v>301</v>
      </c>
      <c r="D15" s="44" t="s">
        <v>292</v>
      </c>
      <c r="E15" s="44" t="s">
        <v>293</v>
      </c>
      <c r="F15" s="29" t="s">
        <v>302</v>
      </c>
    </row>
    <row r="16" spans="1:6" ht="15" customHeight="1" x14ac:dyDescent="0.25">
      <c r="A16" s="6" t="s">
        <v>303</v>
      </c>
      <c r="B16" s="6"/>
      <c r="C16" s="6"/>
      <c r="D16" s="45">
        <f>COUNTIF(D11:D15,"Sí")</f>
        <v>2</v>
      </c>
      <c r="E16" s="45">
        <f>COUNTIF(E11:E15,"Sí")</f>
        <v>5</v>
      </c>
      <c r="F16" s="46"/>
    </row>
    <row r="17" spans="1:6" ht="15" customHeight="1" x14ac:dyDescent="0.25">
      <c r="A17" s="6" t="s">
        <v>304</v>
      </c>
      <c r="B17" s="6"/>
      <c r="C17" s="6"/>
      <c r="D17" s="33">
        <f>ROUND(D16/COUNTA(D11:D15)*5,2)</f>
        <v>2</v>
      </c>
      <c r="E17" s="33">
        <f>ROUND(E16/COUNTA(E11:E15)*5,2)</f>
        <v>5</v>
      </c>
      <c r="F17" s="46" t="s">
        <v>305</v>
      </c>
    </row>
    <row r="18" spans="1:6" x14ac:dyDescent="0.25">
      <c r="A18" s="3" t="s">
        <v>306</v>
      </c>
      <c r="B18" s="3"/>
      <c r="C18" s="3"/>
      <c r="D18" s="3"/>
      <c r="E18" s="3"/>
      <c r="F18" s="3"/>
    </row>
    <row r="19" spans="1:6" ht="31.5" customHeight="1" x14ac:dyDescent="0.25">
      <c r="A19" s="2" t="s">
        <v>307</v>
      </c>
      <c r="B19" s="2"/>
      <c r="C19" s="2"/>
      <c r="D19" s="5" t="s">
        <v>308</v>
      </c>
      <c r="E19" s="5"/>
      <c r="F19" s="5"/>
    </row>
    <row r="20" spans="1:6" ht="31.5" customHeight="1" x14ac:dyDescent="0.25">
      <c r="A20" s="2" t="s">
        <v>309</v>
      </c>
      <c r="B20" s="2"/>
      <c r="C20" s="2"/>
      <c r="D20" s="5" t="s">
        <v>310</v>
      </c>
      <c r="E20" s="5"/>
      <c r="F20" s="5"/>
    </row>
    <row r="22" spans="1:6" ht="19.5" customHeight="1" x14ac:dyDescent="0.25">
      <c r="A22" s="4" t="s">
        <v>311</v>
      </c>
      <c r="B22" s="4"/>
      <c r="C22" s="4"/>
      <c r="D22" s="4"/>
      <c r="E22" s="4"/>
      <c r="F22" s="4"/>
    </row>
    <row r="23" spans="1:6" ht="25.5" x14ac:dyDescent="0.25">
      <c r="A23" s="15" t="s">
        <v>284</v>
      </c>
      <c r="B23" s="15" t="s">
        <v>285</v>
      </c>
      <c r="C23" s="15" t="s">
        <v>286</v>
      </c>
      <c r="D23" s="15" t="s">
        <v>287</v>
      </c>
      <c r="E23" s="15" t="s">
        <v>288</v>
      </c>
      <c r="F23" s="15" t="s">
        <v>289</v>
      </c>
    </row>
    <row r="24" spans="1:6" ht="42" customHeight="1" x14ac:dyDescent="0.25">
      <c r="A24" s="26">
        <v>6</v>
      </c>
      <c r="B24" s="29" t="s">
        <v>312</v>
      </c>
      <c r="C24" s="29" t="s">
        <v>313</v>
      </c>
      <c r="D24" s="44" t="s">
        <v>292</v>
      </c>
      <c r="E24" s="44" t="s">
        <v>293</v>
      </c>
      <c r="F24" s="29" t="s">
        <v>314</v>
      </c>
    </row>
    <row r="25" spans="1:6" ht="42" customHeight="1" x14ac:dyDescent="0.25">
      <c r="A25" s="26">
        <v>7</v>
      </c>
      <c r="B25" s="29" t="s">
        <v>312</v>
      </c>
      <c r="C25" s="29" t="s">
        <v>315</v>
      </c>
      <c r="D25" s="44" t="s">
        <v>292</v>
      </c>
      <c r="E25" s="44" t="s">
        <v>293</v>
      </c>
      <c r="F25" s="29" t="s">
        <v>316</v>
      </c>
    </row>
    <row r="26" spans="1:6" ht="42" customHeight="1" x14ac:dyDescent="0.25">
      <c r="A26" s="26">
        <v>8</v>
      </c>
      <c r="B26" s="29" t="s">
        <v>312</v>
      </c>
      <c r="C26" s="29" t="s">
        <v>317</v>
      </c>
      <c r="D26" s="44" t="s">
        <v>292</v>
      </c>
      <c r="E26" s="44" t="s">
        <v>292</v>
      </c>
      <c r="F26" s="29" t="s">
        <v>318</v>
      </c>
    </row>
    <row r="27" spans="1:6" ht="42" customHeight="1" x14ac:dyDescent="0.25">
      <c r="A27" s="26">
        <v>9</v>
      </c>
      <c r="B27" s="29" t="s">
        <v>312</v>
      </c>
      <c r="C27" s="29" t="s">
        <v>319</v>
      </c>
      <c r="D27" s="44" t="s">
        <v>292</v>
      </c>
      <c r="E27" s="44" t="s">
        <v>293</v>
      </c>
      <c r="F27" s="29" t="s">
        <v>320</v>
      </c>
    </row>
    <row r="28" spans="1:6" ht="42" customHeight="1" x14ac:dyDescent="0.25">
      <c r="A28" s="26">
        <v>10</v>
      </c>
      <c r="B28" s="29" t="s">
        <v>312</v>
      </c>
      <c r="C28" s="29" t="s">
        <v>321</v>
      </c>
      <c r="D28" s="44" t="s">
        <v>292</v>
      </c>
      <c r="E28" s="44" t="s">
        <v>293</v>
      </c>
      <c r="F28" s="29" t="s">
        <v>322</v>
      </c>
    </row>
    <row r="29" spans="1:6" ht="42" customHeight="1" x14ac:dyDescent="0.25">
      <c r="A29" s="26">
        <v>11</v>
      </c>
      <c r="B29" s="29" t="s">
        <v>323</v>
      </c>
      <c r="C29" s="29" t="s">
        <v>324</v>
      </c>
      <c r="D29" s="44" t="s">
        <v>292</v>
      </c>
      <c r="E29" s="44" t="s">
        <v>292</v>
      </c>
      <c r="F29" s="29" t="s">
        <v>325</v>
      </c>
    </row>
    <row r="30" spans="1:6" ht="42" customHeight="1" x14ac:dyDescent="0.25">
      <c r="A30" s="26">
        <v>12</v>
      </c>
      <c r="B30" s="29" t="s">
        <v>323</v>
      </c>
      <c r="C30" s="29" t="s">
        <v>326</v>
      </c>
      <c r="D30" s="44" t="s">
        <v>292</v>
      </c>
      <c r="E30" s="44" t="s">
        <v>293</v>
      </c>
      <c r="F30" s="29" t="s">
        <v>327</v>
      </c>
    </row>
    <row r="31" spans="1:6" ht="42" customHeight="1" x14ac:dyDescent="0.25">
      <c r="A31" s="26">
        <v>13</v>
      </c>
      <c r="B31" s="29" t="s">
        <v>323</v>
      </c>
      <c r="C31" s="29" t="s">
        <v>328</v>
      </c>
      <c r="D31" s="44" t="s">
        <v>292</v>
      </c>
      <c r="E31" s="44" t="s">
        <v>292</v>
      </c>
      <c r="F31" s="29" t="s">
        <v>329</v>
      </c>
    </row>
    <row r="32" spans="1:6" ht="15" customHeight="1" x14ac:dyDescent="0.25">
      <c r="A32" s="6" t="s">
        <v>330</v>
      </c>
      <c r="B32" s="6"/>
      <c r="C32" s="6"/>
      <c r="D32" s="45">
        <f>COUNTIF(D24:D31,"Sí")</f>
        <v>0</v>
      </c>
      <c r="E32" s="45">
        <f>COUNTIF(E24:E31,"Sí")</f>
        <v>5</v>
      </c>
      <c r="F32" s="46"/>
    </row>
    <row r="33" spans="1:6" ht="15" customHeight="1" x14ac:dyDescent="0.25">
      <c r="A33" s="6" t="s">
        <v>331</v>
      </c>
      <c r="B33" s="6"/>
      <c r="C33" s="6"/>
      <c r="D33" s="33">
        <f>ROUND(D32/COUNTA(D24:D31)*7,2)</f>
        <v>0</v>
      </c>
      <c r="E33" s="33">
        <f>ROUND(E32/COUNTA(E24:E31)*7,2)</f>
        <v>4.38</v>
      </c>
      <c r="F33" s="46" t="s">
        <v>332</v>
      </c>
    </row>
    <row r="34" spans="1:6" x14ac:dyDescent="0.25">
      <c r="A34" s="3" t="s">
        <v>306</v>
      </c>
      <c r="B34" s="3"/>
      <c r="C34" s="3"/>
      <c r="D34" s="3"/>
      <c r="E34" s="3"/>
      <c r="F34" s="3"/>
    </row>
    <row r="35" spans="1:6" ht="31.5" customHeight="1" x14ac:dyDescent="0.25">
      <c r="A35" s="2" t="s">
        <v>333</v>
      </c>
      <c r="B35" s="2"/>
      <c r="C35" s="2"/>
      <c r="D35" s="5" t="s">
        <v>334</v>
      </c>
      <c r="E35" s="5"/>
      <c r="F35" s="5"/>
    </row>
    <row r="36" spans="1:6" ht="31.5" customHeight="1" x14ac:dyDescent="0.25">
      <c r="A36" s="2" t="s">
        <v>335</v>
      </c>
      <c r="B36" s="2"/>
      <c r="C36" s="2"/>
      <c r="D36" s="5" t="s">
        <v>336</v>
      </c>
      <c r="E36" s="5"/>
      <c r="F36" s="5"/>
    </row>
    <row r="38" spans="1:6" ht="19.5" customHeight="1" x14ac:dyDescent="0.25">
      <c r="A38" s="4" t="s">
        <v>337</v>
      </c>
      <c r="B38" s="4"/>
      <c r="C38" s="4"/>
      <c r="D38" s="4"/>
      <c r="E38" s="4"/>
      <c r="F38" s="4"/>
    </row>
    <row r="39" spans="1:6" ht="25.5" x14ac:dyDescent="0.25">
      <c r="A39" s="15" t="s">
        <v>284</v>
      </c>
      <c r="B39" s="15" t="s">
        <v>285</v>
      </c>
      <c r="C39" s="15" t="s">
        <v>286</v>
      </c>
      <c r="D39" s="15" t="s">
        <v>287</v>
      </c>
      <c r="E39" s="15" t="s">
        <v>288</v>
      </c>
      <c r="F39" s="15" t="s">
        <v>289</v>
      </c>
    </row>
    <row r="40" spans="1:6" ht="42" customHeight="1" x14ac:dyDescent="0.25">
      <c r="A40" s="26">
        <v>14</v>
      </c>
      <c r="B40" s="29" t="s">
        <v>161</v>
      </c>
      <c r="C40" s="29" t="s">
        <v>338</v>
      </c>
      <c r="D40" s="44" t="s">
        <v>292</v>
      </c>
      <c r="E40" s="44" t="s">
        <v>293</v>
      </c>
      <c r="F40" s="29" t="s">
        <v>339</v>
      </c>
    </row>
    <row r="41" spans="1:6" ht="42" customHeight="1" x14ac:dyDescent="0.25">
      <c r="A41" s="26">
        <v>15</v>
      </c>
      <c r="B41" s="29" t="s">
        <v>161</v>
      </c>
      <c r="C41" s="29" t="s">
        <v>340</v>
      </c>
      <c r="D41" s="44" t="s">
        <v>292</v>
      </c>
      <c r="E41" s="44" t="s">
        <v>293</v>
      </c>
      <c r="F41" s="29" t="s">
        <v>341</v>
      </c>
    </row>
    <row r="42" spans="1:6" ht="42" customHeight="1" x14ac:dyDescent="0.25">
      <c r="A42" s="26">
        <v>16</v>
      </c>
      <c r="B42" s="29" t="s">
        <v>161</v>
      </c>
      <c r="C42" s="29" t="s">
        <v>342</v>
      </c>
      <c r="D42" s="44" t="s">
        <v>292</v>
      </c>
      <c r="E42" s="44" t="s">
        <v>293</v>
      </c>
      <c r="F42" s="29" t="s">
        <v>343</v>
      </c>
    </row>
    <row r="43" spans="1:6" ht="42" customHeight="1" x14ac:dyDescent="0.25">
      <c r="A43" s="26">
        <v>17</v>
      </c>
      <c r="B43" s="29" t="s">
        <v>161</v>
      </c>
      <c r="C43" s="29" t="s">
        <v>344</v>
      </c>
      <c r="D43" s="44" t="s">
        <v>292</v>
      </c>
      <c r="E43" s="44" t="s">
        <v>293</v>
      </c>
      <c r="F43" s="29" t="s">
        <v>345</v>
      </c>
    </row>
    <row r="44" spans="1:6" ht="42" customHeight="1" x14ac:dyDescent="0.25">
      <c r="A44" s="26">
        <v>18</v>
      </c>
      <c r="B44" s="29" t="s">
        <v>346</v>
      </c>
      <c r="C44" s="29" t="s">
        <v>347</v>
      </c>
      <c r="D44" s="44" t="s">
        <v>293</v>
      </c>
      <c r="E44" s="44" t="s">
        <v>293</v>
      </c>
      <c r="F44" s="29" t="s">
        <v>348</v>
      </c>
    </row>
    <row r="45" spans="1:6" ht="42" customHeight="1" x14ac:dyDescent="0.25">
      <c r="A45" s="26">
        <v>19</v>
      </c>
      <c r="B45" s="29" t="s">
        <v>346</v>
      </c>
      <c r="C45" s="29" t="s">
        <v>349</v>
      </c>
      <c r="D45" s="44" t="s">
        <v>292</v>
      </c>
      <c r="E45" s="44" t="s">
        <v>293</v>
      </c>
      <c r="F45" s="29" t="s">
        <v>350</v>
      </c>
    </row>
    <row r="46" spans="1:6" ht="42" customHeight="1" x14ac:dyDescent="0.25">
      <c r="A46" s="26">
        <v>20</v>
      </c>
      <c r="B46" s="29" t="s">
        <v>346</v>
      </c>
      <c r="C46" s="29" t="s">
        <v>351</v>
      </c>
      <c r="D46" s="44" t="s">
        <v>292</v>
      </c>
      <c r="E46" s="44" t="s">
        <v>293</v>
      </c>
      <c r="F46" s="29" t="s">
        <v>352</v>
      </c>
    </row>
    <row r="47" spans="1:6" ht="42" customHeight="1" x14ac:dyDescent="0.25">
      <c r="A47" s="26">
        <v>21</v>
      </c>
      <c r="B47" s="29" t="s">
        <v>346</v>
      </c>
      <c r="C47" s="29" t="s">
        <v>353</v>
      </c>
      <c r="D47" s="44" t="s">
        <v>292</v>
      </c>
      <c r="E47" s="44" t="s">
        <v>293</v>
      </c>
      <c r="F47" s="29" t="s">
        <v>354</v>
      </c>
    </row>
    <row r="48" spans="1:6" ht="42" customHeight="1" x14ac:dyDescent="0.25">
      <c r="A48" s="26">
        <v>22</v>
      </c>
      <c r="B48" s="29" t="s">
        <v>355</v>
      </c>
      <c r="C48" s="29" t="s">
        <v>356</v>
      </c>
      <c r="D48" s="44" t="s">
        <v>293</v>
      </c>
      <c r="E48" s="44" t="s">
        <v>293</v>
      </c>
      <c r="F48" s="29" t="s">
        <v>357</v>
      </c>
    </row>
    <row r="49" spans="1:6" ht="42" customHeight="1" x14ac:dyDescent="0.25">
      <c r="A49" s="26">
        <v>23</v>
      </c>
      <c r="B49" s="29" t="s">
        <v>355</v>
      </c>
      <c r="C49" s="29" t="s">
        <v>358</v>
      </c>
      <c r="D49" s="44" t="s">
        <v>292</v>
      </c>
      <c r="E49" s="44" t="s">
        <v>293</v>
      </c>
      <c r="F49" s="29" t="s">
        <v>359</v>
      </c>
    </row>
    <row r="50" spans="1:6" ht="42" customHeight="1" x14ac:dyDescent="0.25">
      <c r="A50" s="26">
        <v>24</v>
      </c>
      <c r="B50" s="29" t="s">
        <v>355</v>
      </c>
      <c r="C50" s="29" t="s">
        <v>360</v>
      </c>
      <c r="D50" s="44" t="s">
        <v>292</v>
      </c>
      <c r="E50" s="44" t="s">
        <v>293</v>
      </c>
      <c r="F50" s="29" t="s">
        <v>361</v>
      </c>
    </row>
    <row r="51" spans="1:6" ht="15" customHeight="1" x14ac:dyDescent="0.25">
      <c r="A51" s="6" t="s">
        <v>362</v>
      </c>
      <c r="B51" s="6"/>
      <c r="C51" s="6"/>
      <c r="D51" s="45">
        <f>COUNTIF(D40:D50,"Sí")</f>
        <v>2</v>
      </c>
      <c r="E51" s="45">
        <f>COUNTIF(E40:E50,"Sí")</f>
        <v>11</v>
      </c>
      <c r="F51" s="46"/>
    </row>
    <row r="52" spans="1:6" ht="15" customHeight="1" x14ac:dyDescent="0.25">
      <c r="A52" s="6" t="s">
        <v>363</v>
      </c>
      <c r="B52" s="6"/>
      <c r="C52" s="6"/>
      <c r="D52" s="33">
        <f>ROUND(D51/COUNTA(D40:D50)*7,2)</f>
        <v>1.27</v>
      </c>
      <c r="E52" s="33">
        <f>ROUND(E51/COUNTA(E40:E50)*7,2)</f>
        <v>7</v>
      </c>
      <c r="F52" s="46" t="s">
        <v>364</v>
      </c>
    </row>
    <row r="53" spans="1:6" x14ac:dyDescent="0.25">
      <c r="A53" s="3" t="s">
        <v>306</v>
      </c>
      <c r="B53" s="3"/>
      <c r="C53" s="3"/>
      <c r="D53" s="3"/>
      <c r="E53" s="3"/>
      <c r="F53" s="3"/>
    </row>
    <row r="54" spans="1:6" ht="31.5" customHeight="1" x14ac:dyDescent="0.25">
      <c r="A54" s="2" t="s">
        <v>365</v>
      </c>
      <c r="B54" s="2"/>
      <c r="C54" s="2"/>
      <c r="D54" s="5" t="s">
        <v>366</v>
      </c>
      <c r="E54" s="5"/>
      <c r="F54" s="5"/>
    </row>
    <row r="55" spans="1:6" ht="31.5" customHeight="1" x14ac:dyDescent="0.25">
      <c r="A55" s="2" t="s">
        <v>367</v>
      </c>
      <c r="B55" s="2"/>
      <c r="C55" s="2"/>
      <c r="D55" s="5" t="s">
        <v>368</v>
      </c>
      <c r="E55" s="5"/>
      <c r="F55" s="5"/>
    </row>
    <row r="56" spans="1:6" ht="31.5" customHeight="1" x14ac:dyDescent="0.25">
      <c r="A56" s="2" t="s">
        <v>369</v>
      </c>
      <c r="B56" s="2"/>
      <c r="C56" s="2"/>
      <c r="D56" s="5" t="s">
        <v>370</v>
      </c>
      <c r="E56" s="5"/>
      <c r="F56" s="5"/>
    </row>
    <row r="58" spans="1:6" ht="19.5" customHeight="1" x14ac:dyDescent="0.25">
      <c r="A58" s="4" t="s">
        <v>371</v>
      </c>
      <c r="B58" s="4"/>
      <c r="C58" s="4"/>
      <c r="D58" s="4"/>
      <c r="E58" s="4"/>
      <c r="F58" s="4"/>
    </row>
    <row r="59" spans="1:6" ht="25.5" x14ac:dyDescent="0.25">
      <c r="A59" s="15" t="s">
        <v>284</v>
      </c>
      <c r="B59" s="15" t="s">
        <v>285</v>
      </c>
      <c r="C59" s="15" t="s">
        <v>286</v>
      </c>
      <c r="D59" s="15" t="s">
        <v>287</v>
      </c>
      <c r="E59" s="15" t="s">
        <v>288</v>
      </c>
      <c r="F59" s="15" t="s">
        <v>289</v>
      </c>
    </row>
    <row r="60" spans="1:6" ht="42" customHeight="1" x14ac:dyDescent="0.25">
      <c r="A60" s="26">
        <v>25</v>
      </c>
      <c r="B60" s="29" t="s">
        <v>372</v>
      </c>
      <c r="C60" s="29" t="s">
        <v>373</v>
      </c>
      <c r="D60" s="44" t="s">
        <v>293</v>
      </c>
      <c r="E60" s="44" t="s">
        <v>293</v>
      </c>
      <c r="F60" s="29" t="s">
        <v>374</v>
      </c>
    </row>
    <row r="61" spans="1:6" ht="42" customHeight="1" x14ac:dyDescent="0.25">
      <c r="A61" s="26">
        <v>26</v>
      </c>
      <c r="B61" s="29" t="s">
        <v>372</v>
      </c>
      <c r="C61" s="29" t="s">
        <v>375</v>
      </c>
      <c r="D61" s="44" t="s">
        <v>292</v>
      </c>
      <c r="E61" s="44" t="s">
        <v>292</v>
      </c>
      <c r="F61" s="29" t="s">
        <v>376</v>
      </c>
    </row>
    <row r="62" spans="1:6" ht="42" customHeight="1" x14ac:dyDescent="0.25">
      <c r="A62" s="26">
        <v>27</v>
      </c>
      <c r="B62" s="29" t="s">
        <v>372</v>
      </c>
      <c r="C62" s="29" t="s">
        <v>377</v>
      </c>
      <c r="D62" s="44" t="s">
        <v>292</v>
      </c>
      <c r="E62" s="44" t="s">
        <v>293</v>
      </c>
      <c r="F62" s="29" t="s">
        <v>378</v>
      </c>
    </row>
    <row r="63" spans="1:6" ht="42" customHeight="1" x14ac:dyDescent="0.25">
      <c r="A63" s="26">
        <v>28</v>
      </c>
      <c r="B63" s="29" t="s">
        <v>372</v>
      </c>
      <c r="C63" s="29" t="s">
        <v>379</v>
      </c>
      <c r="D63" s="44" t="s">
        <v>292</v>
      </c>
      <c r="E63" s="44" t="s">
        <v>292</v>
      </c>
      <c r="F63" s="29" t="s">
        <v>380</v>
      </c>
    </row>
    <row r="64" spans="1:6" ht="42" customHeight="1" x14ac:dyDescent="0.25">
      <c r="A64" s="26">
        <v>29</v>
      </c>
      <c r="B64" s="29" t="s">
        <v>381</v>
      </c>
      <c r="C64" s="29" t="s">
        <v>382</v>
      </c>
      <c r="D64" s="44" t="s">
        <v>293</v>
      </c>
      <c r="E64" s="44" t="s">
        <v>293</v>
      </c>
      <c r="F64" s="29" t="s">
        <v>383</v>
      </c>
    </row>
    <row r="65" spans="1:6" ht="42" customHeight="1" x14ac:dyDescent="0.25">
      <c r="A65" s="26">
        <v>30</v>
      </c>
      <c r="B65" s="29" t="s">
        <v>381</v>
      </c>
      <c r="C65" s="29" t="s">
        <v>384</v>
      </c>
      <c r="D65" s="44" t="s">
        <v>293</v>
      </c>
      <c r="E65" s="44" t="s">
        <v>293</v>
      </c>
      <c r="F65" s="29" t="s">
        <v>385</v>
      </c>
    </row>
    <row r="66" spans="1:6" ht="42" customHeight="1" x14ac:dyDescent="0.25">
      <c r="A66" s="26">
        <v>31</v>
      </c>
      <c r="B66" s="29" t="s">
        <v>381</v>
      </c>
      <c r="C66" s="29" t="s">
        <v>386</v>
      </c>
      <c r="D66" s="44" t="s">
        <v>293</v>
      </c>
      <c r="E66" s="44" t="s">
        <v>293</v>
      </c>
      <c r="F66" s="29" t="s">
        <v>387</v>
      </c>
    </row>
    <row r="67" spans="1:6" ht="42" customHeight="1" x14ac:dyDescent="0.25">
      <c r="A67" s="26">
        <v>32</v>
      </c>
      <c r="B67" s="29" t="s">
        <v>388</v>
      </c>
      <c r="C67" s="29" t="s">
        <v>389</v>
      </c>
      <c r="D67" s="44" t="s">
        <v>292</v>
      </c>
      <c r="E67" s="44" t="s">
        <v>292</v>
      </c>
      <c r="F67" s="29" t="s">
        <v>390</v>
      </c>
    </row>
    <row r="68" spans="1:6" ht="42" customHeight="1" x14ac:dyDescent="0.25">
      <c r="A68" s="26">
        <v>33</v>
      </c>
      <c r="B68" s="29" t="s">
        <v>388</v>
      </c>
      <c r="C68" s="29" t="s">
        <v>391</v>
      </c>
      <c r="D68" s="44" t="s">
        <v>292</v>
      </c>
      <c r="E68" s="44" t="s">
        <v>293</v>
      </c>
      <c r="F68" s="29" t="s">
        <v>392</v>
      </c>
    </row>
    <row r="69" spans="1:6" ht="42" customHeight="1" x14ac:dyDescent="0.25">
      <c r="A69" s="26">
        <v>34</v>
      </c>
      <c r="B69" s="29" t="s">
        <v>388</v>
      </c>
      <c r="C69" s="29" t="s">
        <v>393</v>
      </c>
      <c r="D69" s="44" t="s">
        <v>292</v>
      </c>
      <c r="E69" s="44" t="s">
        <v>292</v>
      </c>
      <c r="F69" s="29" t="s">
        <v>394</v>
      </c>
    </row>
    <row r="70" spans="1:6" ht="15" customHeight="1" x14ac:dyDescent="0.25">
      <c r="A70" s="6" t="s">
        <v>395</v>
      </c>
      <c r="B70" s="6"/>
      <c r="C70" s="6"/>
      <c r="D70" s="45">
        <f>COUNTIF(D60:D69,"Sí")</f>
        <v>4</v>
      </c>
      <c r="E70" s="45">
        <f>COUNTIF(E60:E69,"Sí")</f>
        <v>6</v>
      </c>
      <c r="F70" s="46"/>
    </row>
    <row r="71" spans="1:6" ht="15" customHeight="1" x14ac:dyDescent="0.25">
      <c r="A71" s="6" t="s">
        <v>396</v>
      </c>
      <c r="B71" s="6"/>
      <c r="C71" s="6"/>
      <c r="D71" s="33">
        <f>ROUND(D70/COUNTA(D60:D69)*7,2)</f>
        <v>2.8</v>
      </c>
      <c r="E71" s="33">
        <f>ROUND(E70/COUNTA(E60:E69)*7,2)</f>
        <v>4.2</v>
      </c>
      <c r="F71" s="46" t="s">
        <v>397</v>
      </c>
    </row>
    <row r="72" spans="1:6" x14ac:dyDescent="0.25">
      <c r="A72" s="3" t="s">
        <v>306</v>
      </c>
      <c r="B72" s="3"/>
      <c r="C72" s="3"/>
      <c r="D72" s="3"/>
      <c r="E72" s="3"/>
      <c r="F72" s="3"/>
    </row>
    <row r="73" spans="1:6" ht="31.5" customHeight="1" x14ac:dyDescent="0.25">
      <c r="A73" s="2" t="s">
        <v>398</v>
      </c>
      <c r="B73" s="2"/>
      <c r="C73" s="2"/>
      <c r="D73" s="5" t="s">
        <v>399</v>
      </c>
      <c r="E73" s="5"/>
      <c r="F73" s="5"/>
    </row>
    <row r="74" spans="1:6" ht="31.5" customHeight="1" x14ac:dyDescent="0.25">
      <c r="A74" s="2" t="s">
        <v>400</v>
      </c>
      <c r="B74" s="2"/>
      <c r="C74" s="2"/>
      <c r="D74" s="5" t="s">
        <v>401</v>
      </c>
      <c r="E74" s="5"/>
      <c r="F74" s="5"/>
    </row>
    <row r="75" spans="1:6" ht="31.5" customHeight="1" x14ac:dyDescent="0.25">
      <c r="A75" s="2" t="s">
        <v>402</v>
      </c>
      <c r="B75" s="2"/>
      <c r="C75" s="2"/>
      <c r="D75" s="5" t="s">
        <v>403</v>
      </c>
      <c r="E75" s="5"/>
      <c r="F75" s="5"/>
    </row>
    <row r="77" spans="1:6" ht="19.5" customHeight="1" x14ac:dyDescent="0.25">
      <c r="A77" s="4" t="s">
        <v>404</v>
      </c>
      <c r="B77" s="4"/>
      <c r="C77" s="4"/>
      <c r="D77" s="4"/>
      <c r="E77" s="4"/>
      <c r="F77" s="4"/>
    </row>
    <row r="78" spans="1:6" ht="25.5" x14ac:dyDescent="0.25">
      <c r="A78" s="15" t="s">
        <v>284</v>
      </c>
      <c r="B78" s="15" t="s">
        <v>285</v>
      </c>
      <c r="C78" s="15" t="s">
        <v>286</v>
      </c>
      <c r="D78" s="15" t="s">
        <v>287</v>
      </c>
      <c r="E78" s="15" t="s">
        <v>288</v>
      </c>
      <c r="F78" s="15" t="s">
        <v>289</v>
      </c>
    </row>
    <row r="79" spans="1:6" ht="42" customHeight="1" x14ac:dyDescent="0.25">
      <c r="A79" s="26">
        <v>35</v>
      </c>
      <c r="B79" s="29" t="s">
        <v>405</v>
      </c>
      <c r="C79" s="29" t="s">
        <v>406</v>
      </c>
      <c r="D79" s="44" t="s">
        <v>292</v>
      </c>
      <c r="E79" s="44" t="s">
        <v>293</v>
      </c>
      <c r="F79" s="29" t="s">
        <v>407</v>
      </c>
    </row>
    <row r="80" spans="1:6" ht="42" customHeight="1" x14ac:dyDescent="0.25">
      <c r="A80" s="26">
        <v>36</v>
      </c>
      <c r="B80" s="29" t="s">
        <v>405</v>
      </c>
      <c r="C80" s="29" t="s">
        <v>408</v>
      </c>
      <c r="D80" s="44" t="s">
        <v>292</v>
      </c>
      <c r="E80" s="44" t="s">
        <v>293</v>
      </c>
      <c r="F80" s="29" t="s">
        <v>409</v>
      </c>
    </row>
    <row r="81" spans="1:6" ht="42" customHeight="1" x14ac:dyDescent="0.25">
      <c r="A81" s="26">
        <v>37</v>
      </c>
      <c r="B81" s="29" t="s">
        <v>405</v>
      </c>
      <c r="C81" s="29" t="s">
        <v>410</v>
      </c>
      <c r="D81" s="44" t="s">
        <v>292</v>
      </c>
      <c r="E81" s="44" t="s">
        <v>293</v>
      </c>
      <c r="F81" s="29" t="s">
        <v>411</v>
      </c>
    </row>
    <row r="82" spans="1:6" ht="42" customHeight="1" x14ac:dyDescent="0.25">
      <c r="A82" s="26">
        <v>38</v>
      </c>
      <c r="B82" s="29" t="s">
        <v>405</v>
      </c>
      <c r="C82" s="29" t="s">
        <v>412</v>
      </c>
      <c r="D82" s="44" t="s">
        <v>292</v>
      </c>
      <c r="E82" s="44" t="s">
        <v>293</v>
      </c>
      <c r="F82" s="29" t="s">
        <v>413</v>
      </c>
    </row>
    <row r="83" spans="1:6" ht="42" customHeight="1" x14ac:dyDescent="0.25">
      <c r="A83" s="26">
        <v>39</v>
      </c>
      <c r="B83" s="29" t="s">
        <v>414</v>
      </c>
      <c r="C83" s="29" t="s">
        <v>415</v>
      </c>
      <c r="D83" s="44" t="s">
        <v>292</v>
      </c>
      <c r="E83" s="44" t="s">
        <v>293</v>
      </c>
      <c r="F83" s="29" t="s">
        <v>416</v>
      </c>
    </row>
    <row r="84" spans="1:6" ht="42" customHeight="1" x14ac:dyDescent="0.25">
      <c r="A84" s="26">
        <v>40</v>
      </c>
      <c r="B84" s="29" t="s">
        <v>414</v>
      </c>
      <c r="C84" s="29" t="s">
        <v>417</v>
      </c>
      <c r="D84" s="44" t="s">
        <v>292</v>
      </c>
      <c r="E84" s="44" t="s">
        <v>293</v>
      </c>
      <c r="F84" s="29" t="s">
        <v>418</v>
      </c>
    </row>
    <row r="85" spans="1:6" ht="42" customHeight="1" x14ac:dyDescent="0.25">
      <c r="A85" s="26">
        <v>41</v>
      </c>
      <c r="B85" s="29" t="s">
        <v>414</v>
      </c>
      <c r="C85" s="29" t="s">
        <v>419</v>
      </c>
      <c r="D85" s="44" t="s">
        <v>292</v>
      </c>
      <c r="E85" s="44" t="s">
        <v>293</v>
      </c>
      <c r="F85" s="29" t="s">
        <v>420</v>
      </c>
    </row>
    <row r="86" spans="1:6" ht="42" customHeight="1" x14ac:dyDescent="0.25">
      <c r="A86" s="26">
        <v>42</v>
      </c>
      <c r="B86" s="29" t="s">
        <v>414</v>
      </c>
      <c r="C86" s="29" t="s">
        <v>421</v>
      </c>
      <c r="D86" s="44" t="s">
        <v>292</v>
      </c>
      <c r="E86" s="44" t="s">
        <v>293</v>
      </c>
      <c r="F86" s="29" t="s">
        <v>422</v>
      </c>
    </row>
    <row r="87" spans="1:6" ht="42" customHeight="1" x14ac:dyDescent="0.25">
      <c r="A87" s="26">
        <v>43</v>
      </c>
      <c r="B87" s="29" t="s">
        <v>414</v>
      </c>
      <c r="C87" s="29" t="s">
        <v>423</v>
      </c>
      <c r="D87" s="44" t="s">
        <v>292</v>
      </c>
      <c r="E87" s="44" t="s">
        <v>293</v>
      </c>
      <c r="F87" s="29" t="s">
        <v>424</v>
      </c>
    </row>
    <row r="88" spans="1:6" ht="42" customHeight="1" x14ac:dyDescent="0.25">
      <c r="A88" s="26">
        <v>44</v>
      </c>
      <c r="B88" s="29" t="s">
        <v>425</v>
      </c>
      <c r="C88" s="29" t="s">
        <v>426</v>
      </c>
      <c r="D88" s="44" t="s">
        <v>292</v>
      </c>
      <c r="E88" s="44" t="s">
        <v>293</v>
      </c>
      <c r="F88" s="29" t="s">
        <v>427</v>
      </c>
    </row>
    <row r="89" spans="1:6" ht="42" customHeight="1" x14ac:dyDescent="0.25">
      <c r="A89" s="26">
        <v>45</v>
      </c>
      <c r="B89" s="29" t="s">
        <v>425</v>
      </c>
      <c r="C89" s="29" t="s">
        <v>428</v>
      </c>
      <c r="D89" s="44" t="s">
        <v>292</v>
      </c>
      <c r="E89" s="44" t="s">
        <v>293</v>
      </c>
      <c r="F89" s="29" t="s">
        <v>429</v>
      </c>
    </row>
    <row r="90" spans="1:6" ht="15" customHeight="1" x14ac:dyDescent="0.25">
      <c r="A90" s="6" t="s">
        <v>362</v>
      </c>
      <c r="B90" s="6"/>
      <c r="C90" s="6"/>
      <c r="D90" s="45">
        <f>COUNTIF(D79:D89,"Sí")</f>
        <v>0</v>
      </c>
      <c r="E90" s="45">
        <f>COUNTIF(E79:E89,"Sí")</f>
        <v>11</v>
      </c>
      <c r="F90" s="46"/>
    </row>
    <row r="91" spans="1:6" ht="15" customHeight="1" x14ac:dyDescent="0.25">
      <c r="A91" s="6" t="s">
        <v>430</v>
      </c>
      <c r="B91" s="6"/>
      <c r="C91" s="6"/>
      <c r="D91" s="33">
        <f>ROUND(D90/COUNTA(D79:D89)*5,2)</f>
        <v>0</v>
      </c>
      <c r="E91" s="33">
        <f>ROUND(E90/COUNTA(E79:E89)*5,2)</f>
        <v>5</v>
      </c>
      <c r="F91" s="46" t="s">
        <v>431</v>
      </c>
    </row>
    <row r="92" spans="1:6" x14ac:dyDescent="0.25">
      <c r="A92" s="3" t="s">
        <v>306</v>
      </c>
      <c r="B92" s="3"/>
      <c r="C92" s="3"/>
      <c r="D92" s="3"/>
      <c r="E92" s="3"/>
      <c r="F92" s="3"/>
    </row>
    <row r="93" spans="1:6" ht="31.5" customHeight="1" x14ac:dyDescent="0.25">
      <c r="A93" s="2" t="s">
        <v>432</v>
      </c>
      <c r="B93" s="2"/>
      <c r="C93" s="2"/>
      <c r="D93" s="5" t="s">
        <v>433</v>
      </c>
      <c r="E93" s="5"/>
      <c r="F93" s="5"/>
    </row>
    <row r="94" spans="1:6" ht="31.5" customHeight="1" x14ac:dyDescent="0.25">
      <c r="A94" s="2" t="s">
        <v>434</v>
      </c>
      <c r="B94" s="2"/>
      <c r="C94" s="2"/>
      <c r="D94" s="5" t="s">
        <v>435</v>
      </c>
      <c r="E94" s="5"/>
      <c r="F94" s="5"/>
    </row>
    <row r="96" spans="1:6" x14ac:dyDescent="0.25">
      <c r="A96" s="1" t="s">
        <v>436</v>
      </c>
      <c r="B96" s="1"/>
      <c r="C96" s="1"/>
      <c r="D96" s="1"/>
      <c r="E96" s="1"/>
      <c r="F96" s="1"/>
    </row>
    <row r="97" spans="1:6" ht="25.5" x14ac:dyDescent="0.25">
      <c r="A97" s="15"/>
      <c r="B97" s="15" t="s">
        <v>17</v>
      </c>
      <c r="C97" s="15"/>
      <c r="D97" s="15" t="s">
        <v>287</v>
      </c>
      <c r="E97" s="15" t="s">
        <v>288</v>
      </c>
      <c r="F97" s="15" t="s">
        <v>437</v>
      </c>
    </row>
    <row r="98" spans="1:6" ht="15" customHeight="1" x14ac:dyDescent="0.25">
      <c r="A98" s="29"/>
      <c r="B98" s="49" t="s">
        <v>230</v>
      </c>
      <c r="C98" s="49"/>
      <c r="D98" s="30">
        <f>D17</f>
        <v>2</v>
      </c>
      <c r="E98" s="30">
        <f>E17</f>
        <v>5</v>
      </c>
      <c r="F98" s="36">
        <v>5</v>
      </c>
    </row>
    <row r="99" spans="1:6" ht="15" customHeight="1" x14ac:dyDescent="0.25">
      <c r="A99" s="29"/>
      <c r="B99" s="49" t="s">
        <v>233</v>
      </c>
      <c r="C99" s="49"/>
      <c r="D99" s="30">
        <f>D33</f>
        <v>0</v>
      </c>
      <c r="E99" s="30">
        <f>E33</f>
        <v>4.38</v>
      </c>
      <c r="F99" s="36">
        <v>7</v>
      </c>
    </row>
    <row r="100" spans="1:6" ht="15" customHeight="1" x14ac:dyDescent="0.25">
      <c r="A100" s="29"/>
      <c r="B100" s="49" t="s">
        <v>237</v>
      </c>
      <c r="C100" s="49"/>
      <c r="D100" s="30">
        <f>D52</f>
        <v>1.27</v>
      </c>
      <c r="E100" s="30">
        <f>E52</f>
        <v>7</v>
      </c>
      <c r="F100" s="36">
        <v>7</v>
      </c>
    </row>
    <row r="101" spans="1:6" ht="15" customHeight="1" x14ac:dyDescent="0.25">
      <c r="A101" s="29"/>
      <c r="B101" s="49" t="s">
        <v>241</v>
      </c>
      <c r="C101" s="49"/>
      <c r="D101" s="30">
        <f>D71</f>
        <v>2.8</v>
      </c>
      <c r="E101" s="30">
        <f>E71</f>
        <v>4.2</v>
      </c>
      <c r="F101" s="36">
        <v>7</v>
      </c>
    </row>
    <row r="102" spans="1:6" ht="15" customHeight="1" x14ac:dyDescent="0.25">
      <c r="A102" s="29"/>
      <c r="B102" s="49" t="s">
        <v>243</v>
      </c>
      <c r="C102" s="49"/>
      <c r="D102" s="30">
        <f>D91</f>
        <v>0</v>
      </c>
      <c r="E102" s="30">
        <f>E91</f>
        <v>5</v>
      </c>
      <c r="F102" s="36">
        <v>5</v>
      </c>
    </row>
    <row r="103" spans="1:6" ht="15" customHeight="1" x14ac:dyDescent="0.25">
      <c r="A103" s="46"/>
      <c r="B103" s="6" t="s">
        <v>438</v>
      </c>
      <c r="C103" s="6"/>
      <c r="D103" s="23">
        <f>SUM(D98:D102)</f>
        <v>6.07</v>
      </c>
      <c r="E103" s="23">
        <f>SUM(E98:E102)</f>
        <v>25.58</v>
      </c>
      <c r="F103" s="45">
        <f>SUM(F98:F102)</f>
        <v>31</v>
      </c>
    </row>
    <row r="104" spans="1:6" ht="36" customHeight="1" x14ac:dyDescent="0.25">
      <c r="A104" s="29"/>
      <c r="B104" s="49" t="s">
        <v>439</v>
      </c>
      <c r="C104" s="49"/>
      <c r="D104" s="44" t="str">
        <f>IF(D103&gt;=26,"VERDE: listo para ejecutar",IF(D103&gt;=20,"AMARILLO: ajustes menores",IF(D103&gt;=15,"NARANJA: trabajo significativo","ROJO: reformulación completa")))</f>
        <v>ROJO: reformulación completa</v>
      </c>
      <c r="E104" s="44" t="str">
        <f>IF(E103&gt;=26,"VERDE: listo para ejecutar",IF(E103&gt;=20,"AMARILLO: ajustes menores",IF(E103&gt;=15,"NARANJA: trabajo significativo","ROJO: reformulación completa")))</f>
        <v>AMARILLO: ajustes menores</v>
      </c>
      <c r="F104" s="29" t="s">
        <v>440</v>
      </c>
    </row>
    <row r="105" spans="1:6" ht="31.5" customHeight="1" x14ac:dyDescent="0.25">
      <c r="A105" s="29"/>
      <c r="B105" s="49" t="s">
        <v>441</v>
      </c>
      <c r="C105" s="49"/>
      <c r="D105" s="26"/>
      <c r="E105" s="47">
        <f>E103-E33+ROUND((E32+1)/8*7,2)</f>
        <v>26.45</v>
      </c>
      <c r="F105" s="29" t="s">
        <v>442</v>
      </c>
    </row>
    <row r="106" spans="1:6" ht="36" customHeight="1" x14ac:dyDescent="0.25">
      <c r="A106" s="29"/>
      <c r="B106" s="49" t="s">
        <v>443</v>
      </c>
      <c r="C106" s="49"/>
      <c r="D106" s="26"/>
      <c r="E106" s="44" t="str">
        <f>IF(E105&gt;=26,"VERDE: listo para ejecutar",IF(E105&gt;=20,"AMARILLO: ajustes menores",IF(E105&gt;=15,"NARANJA: trabajo significativo","ROJO: reformulación completa")))</f>
        <v>VERDE: listo para ejecutar</v>
      </c>
      <c r="F106" s="29"/>
    </row>
    <row r="108" spans="1:6" ht="43.5" customHeight="1" x14ac:dyDescent="0.25">
      <c r="A108" s="10" t="s">
        <v>444</v>
      </c>
      <c r="B108" s="10"/>
      <c r="C108" s="10"/>
      <c r="D108" s="10"/>
      <c r="E108" s="10"/>
      <c r="F108" s="10"/>
    </row>
    <row r="110" spans="1:6" x14ac:dyDescent="0.25">
      <c r="A110" s="1" t="s">
        <v>445</v>
      </c>
      <c r="B110" s="1"/>
      <c r="C110" s="1"/>
      <c r="D110" s="1"/>
      <c r="E110" s="1"/>
      <c r="F110" s="1"/>
    </row>
    <row r="111" spans="1:6" ht="25.5" x14ac:dyDescent="0.25">
      <c r="A111" s="15"/>
      <c r="B111" s="15" t="s">
        <v>446</v>
      </c>
      <c r="C111" s="15"/>
      <c r="D111" s="15" t="s">
        <v>287</v>
      </c>
      <c r="E111" s="15" t="s">
        <v>288</v>
      </c>
      <c r="F111" s="15" t="s">
        <v>447</v>
      </c>
    </row>
    <row r="112" spans="1:6" ht="30" customHeight="1" x14ac:dyDescent="0.25">
      <c r="A112" s="29"/>
      <c r="B112" s="49" t="s">
        <v>448</v>
      </c>
      <c r="C112" s="49"/>
      <c r="D112" s="48" t="s">
        <v>449</v>
      </c>
      <c r="E112" s="48" t="s">
        <v>450</v>
      </c>
      <c r="F112" s="29" t="s">
        <v>451</v>
      </c>
    </row>
    <row r="113" spans="1:6" ht="30" customHeight="1" x14ac:dyDescent="0.25">
      <c r="A113" s="29"/>
      <c r="B113" s="49" t="s">
        <v>452</v>
      </c>
      <c r="C113" s="49"/>
      <c r="D113" s="48" t="s">
        <v>449</v>
      </c>
      <c r="E113" s="48" t="s">
        <v>450</v>
      </c>
      <c r="F113" s="29" t="s">
        <v>453</v>
      </c>
    </row>
    <row r="114" spans="1:6" ht="30" customHeight="1" x14ac:dyDescent="0.25">
      <c r="A114" s="29"/>
      <c r="B114" s="49" t="s">
        <v>454</v>
      </c>
      <c r="C114" s="49"/>
      <c r="D114" s="48" t="s">
        <v>450</v>
      </c>
      <c r="E114" s="48" t="s">
        <v>449</v>
      </c>
      <c r="F114" s="29" t="s">
        <v>455</v>
      </c>
    </row>
    <row r="115" spans="1:6" ht="30" customHeight="1" x14ac:dyDescent="0.25">
      <c r="A115" s="29"/>
      <c r="B115" s="49" t="s">
        <v>456</v>
      </c>
      <c r="C115" s="49"/>
      <c r="D115" s="48" t="s">
        <v>450</v>
      </c>
      <c r="E115" s="48" t="s">
        <v>450</v>
      </c>
      <c r="F115" s="29" t="s">
        <v>457</v>
      </c>
    </row>
    <row r="116" spans="1:6" ht="30" customHeight="1" x14ac:dyDescent="0.25">
      <c r="A116" s="29"/>
      <c r="B116" s="49" t="s">
        <v>458</v>
      </c>
      <c r="C116" s="49"/>
      <c r="D116" s="48" t="s">
        <v>450</v>
      </c>
      <c r="E116" s="48" t="s">
        <v>450</v>
      </c>
      <c r="F116" s="29" t="s">
        <v>459</v>
      </c>
    </row>
    <row r="117" spans="1:6" ht="30" customHeight="1" x14ac:dyDescent="0.25">
      <c r="A117" s="29"/>
      <c r="B117" s="49" t="s">
        <v>460</v>
      </c>
      <c r="C117" s="49"/>
      <c r="D117" s="48" t="s">
        <v>450</v>
      </c>
      <c r="E117" s="48" t="s">
        <v>449</v>
      </c>
      <c r="F117" s="29" t="s">
        <v>461</v>
      </c>
    </row>
    <row r="118" spans="1:6" ht="30" customHeight="1" x14ac:dyDescent="0.25">
      <c r="A118" s="29"/>
      <c r="B118" s="49" t="s">
        <v>462</v>
      </c>
      <c r="C118" s="49"/>
      <c r="D118" s="48" t="s">
        <v>450</v>
      </c>
      <c r="E118" s="48" t="s">
        <v>450</v>
      </c>
      <c r="F118" s="29" t="s">
        <v>463</v>
      </c>
    </row>
    <row r="119" spans="1:6" ht="30" customHeight="1" x14ac:dyDescent="0.25">
      <c r="A119" s="29"/>
      <c r="B119" s="49" t="s">
        <v>464</v>
      </c>
      <c r="C119" s="49"/>
      <c r="D119" s="48" t="s">
        <v>449</v>
      </c>
      <c r="E119" s="48" t="s">
        <v>450</v>
      </c>
      <c r="F119" s="29" t="s">
        <v>465</v>
      </c>
    </row>
    <row r="121" spans="1:6" x14ac:dyDescent="0.25">
      <c r="A121" s="1" t="s">
        <v>466</v>
      </c>
      <c r="B121" s="1"/>
      <c r="C121" s="1"/>
      <c r="D121" s="1"/>
      <c r="E121" s="1"/>
      <c r="F121" s="1"/>
    </row>
    <row r="122" spans="1:6" ht="30" customHeight="1" x14ac:dyDescent="0.25">
      <c r="A122" s="2" t="s">
        <v>467</v>
      </c>
      <c r="B122" s="2"/>
      <c r="C122" s="5" t="s">
        <v>468</v>
      </c>
      <c r="D122" s="5"/>
      <c r="E122" s="5"/>
      <c r="F122" s="5"/>
    </row>
    <row r="123" spans="1:6" ht="30" customHeight="1" x14ac:dyDescent="0.25">
      <c r="A123" s="2" t="s">
        <v>469</v>
      </c>
      <c r="B123" s="2"/>
      <c r="C123" s="5" t="s">
        <v>470</v>
      </c>
      <c r="D123" s="5"/>
      <c r="E123" s="5"/>
      <c r="F123" s="5"/>
    </row>
    <row r="124" spans="1:6" ht="30" customHeight="1" x14ac:dyDescent="0.25">
      <c r="A124" s="2" t="s">
        <v>471</v>
      </c>
      <c r="B124" s="2"/>
      <c r="C124" s="5" t="s">
        <v>472</v>
      </c>
      <c r="D124" s="5"/>
      <c r="E124" s="5"/>
      <c r="F124" s="5"/>
    </row>
    <row r="126" spans="1:6" x14ac:dyDescent="0.25">
      <c r="A126" s="1" t="s">
        <v>473</v>
      </c>
      <c r="B126" s="1"/>
      <c r="C126" s="1"/>
      <c r="D126" s="1"/>
      <c r="E126" s="1"/>
      <c r="F126" s="1"/>
    </row>
    <row r="127" spans="1:6" ht="21.75" customHeight="1" x14ac:dyDescent="0.25">
      <c r="A127" s="2" t="s">
        <v>474</v>
      </c>
      <c r="B127" s="2"/>
      <c r="C127" s="2"/>
      <c r="D127" s="5" t="s">
        <v>475</v>
      </c>
      <c r="E127" s="5"/>
      <c r="F127" s="5"/>
    </row>
    <row r="128" spans="1:6" ht="21.75" customHeight="1" x14ac:dyDescent="0.25">
      <c r="A128" s="2" t="s">
        <v>476</v>
      </c>
      <c r="B128" s="2"/>
      <c r="C128" s="2"/>
      <c r="D128" s="5" t="s">
        <v>477</v>
      </c>
      <c r="E128" s="5"/>
      <c r="F128" s="5"/>
    </row>
    <row r="129" spans="1:6" ht="21.75" customHeight="1" x14ac:dyDescent="0.25">
      <c r="A129" s="2" t="s">
        <v>478</v>
      </c>
      <c r="B129" s="2"/>
      <c r="C129" s="2"/>
      <c r="D129" s="5" t="s">
        <v>479</v>
      </c>
      <c r="E129" s="5"/>
      <c r="F129" s="5"/>
    </row>
    <row r="130" spans="1:6" ht="21.75" customHeight="1" x14ac:dyDescent="0.25">
      <c r="A130" s="2" t="s">
        <v>480</v>
      </c>
      <c r="B130" s="2"/>
      <c r="C130" s="2"/>
      <c r="D130" s="5" t="s">
        <v>481</v>
      </c>
      <c r="E130" s="5"/>
      <c r="F130" s="5"/>
    </row>
    <row r="132" spans="1:6" x14ac:dyDescent="0.25">
      <c r="A132" s="50" t="s">
        <v>482</v>
      </c>
      <c r="B132" s="50"/>
      <c r="C132" s="50"/>
      <c r="D132" s="50"/>
      <c r="E132" s="50"/>
      <c r="F132" s="50"/>
    </row>
  </sheetData>
  <mergeCells count="89">
    <mergeCell ref="A132:F132"/>
    <mergeCell ref="A128:C128"/>
    <mergeCell ref="D128:F128"/>
    <mergeCell ref="A129:C129"/>
    <mergeCell ref="D129:F129"/>
    <mergeCell ref="A130:C130"/>
    <mergeCell ref="D130:F130"/>
    <mergeCell ref="A124:B124"/>
    <mergeCell ref="C124:F124"/>
    <mergeCell ref="A126:F126"/>
    <mergeCell ref="A127:C127"/>
    <mergeCell ref="D127:F127"/>
    <mergeCell ref="A121:F121"/>
    <mergeCell ref="A122:B122"/>
    <mergeCell ref="C122:F122"/>
    <mergeCell ref="A123:B123"/>
    <mergeCell ref="C123:F123"/>
    <mergeCell ref="B115:C115"/>
    <mergeCell ref="B116:C116"/>
    <mergeCell ref="B117:C117"/>
    <mergeCell ref="B118:C118"/>
    <mergeCell ref="B119:C119"/>
    <mergeCell ref="A108:F108"/>
    <mergeCell ref="A110:F110"/>
    <mergeCell ref="B112:C112"/>
    <mergeCell ref="B113:C113"/>
    <mergeCell ref="B114:C114"/>
    <mergeCell ref="B102:C102"/>
    <mergeCell ref="B103:C103"/>
    <mergeCell ref="B104:C104"/>
    <mergeCell ref="B105:C105"/>
    <mergeCell ref="B106:C106"/>
    <mergeCell ref="A96:F96"/>
    <mergeCell ref="B98:C98"/>
    <mergeCell ref="B99:C99"/>
    <mergeCell ref="B100:C100"/>
    <mergeCell ref="B101:C101"/>
    <mergeCell ref="A92:F92"/>
    <mergeCell ref="A93:C93"/>
    <mergeCell ref="D93:F93"/>
    <mergeCell ref="A94:C94"/>
    <mergeCell ref="D94:F94"/>
    <mergeCell ref="A75:C75"/>
    <mergeCell ref="D75:F75"/>
    <mergeCell ref="A77:F77"/>
    <mergeCell ref="A90:C90"/>
    <mergeCell ref="A91:C91"/>
    <mergeCell ref="A72:F72"/>
    <mergeCell ref="A73:C73"/>
    <mergeCell ref="D73:F73"/>
    <mergeCell ref="A74:C74"/>
    <mergeCell ref="D74:F74"/>
    <mergeCell ref="A56:C56"/>
    <mergeCell ref="D56:F56"/>
    <mergeCell ref="A58:F58"/>
    <mergeCell ref="A70:C70"/>
    <mergeCell ref="A71:C71"/>
    <mergeCell ref="A53:F53"/>
    <mergeCell ref="A54:C54"/>
    <mergeCell ref="D54:F54"/>
    <mergeCell ref="A55:C55"/>
    <mergeCell ref="D55:F55"/>
    <mergeCell ref="A36:C36"/>
    <mergeCell ref="D36:F36"/>
    <mergeCell ref="A38:F38"/>
    <mergeCell ref="A51:C51"/>
    <mergeCell ref="A52:C52"/>
    <mergeCell ref="A22:F22"/>
    <mergeCell ref="A32:C32"/>
    <mergeCell ref="A33:C33"/>
    <mergeCell ref="A34:F34"/>
    <mergeCell ref="A35:C35"/>
    <mergeCell ref="D35:F35"/>
    <mergeCell ref="A17:C17"/>
    <mergeCell ref="A18:F18"/>
    <mergeCell ref="A19:C19"/>
    <mergeCell ref="D19:F19"/>
    <mergeCell ref="A20:C20"/>
    <mergeCell ref="D20:F20"/>
    <mergeCell ref="A5:B5"/>
    <mergeCell ref="C5:F5"/>
    <mergeCell ref="A7:F7"/>
    <mergeCell ref="A9:F9"/>
    <mergeCell ref="A16:C16"/>
    <mergeCell ref="A1:F1"/>
    <mergeCell ref="A3:B3"/>
    <mergeCell ref="C3:F3"/>
    <mergeCell ref="A4:B4"/>
    <mergeCell ref="C4:F4"/>
  </mergeCells>
  <conditionalFormatting sqref="D11:E15">
    <cfRule type="cellIs" dxfId="17" priority="2" operator="equal">
      <formula>"Sí"</formula>
    </cfRule>
    <cfRule type="cellIs" dxfId="16" priority="3" operator="equal">
      <formula>"No"</formula>
    </cfRule>
  </conditionalFormatting>
  <conditionalFormatting sqref="D24:E31">
    <cfRule type="cellIs" dxfId="15" priority="4" operator="equal">
      <formula>"Sí"</formula>
    </cfRule>
    <cfRule type="cellIs" dxfId="14" priority="5" operator="equal">
      <formula>"No"</formula>
    </cfRule>
  </conditionalFormatting>
  <conditionalFormatting sqref="D40:E50">
    <cfRule type="cellIs" dxfId="13" priority="6" operator="equal">
      <formula>"Sí"</formula>
    </cfRule>
    <cfRule type="cellIs" dxfId="12" priority="7" operator="equal">
      <formula>"No"</formula>
    </cfRule>
  </conditionalFormatting>
  <conditionalFormatting sqref="D60:E69">
    <cfRule type="cellIs" dxfId="11" priority="8" operator="equal">
      <formula>"Sí"</formula>
    </cfRule>
    <cfRule type="cellIs" dxfId="10" priority="9" operator="equal">
      <formula>"No"</formula>
    </cfRule>
  </conditionalFormatting>
  <conditionalFormatting sqref="D79:E89">
    <cfRule type="cellIs" dxfId="9" priority="10" operator="equal">
      <formula>"Sí"</formula>
    </cfRule>
    <cfRule type="cellIs" dxfId="8" priority="11" operator="equal">
      <formula>"No"</formula>
    </cfRule>
  </conditionalFormatting>
  <conditionalFormatting sqref="D104:E104">
    <cfRule type="expression" dxfId="7" priority="12">
      <formula>LEFT(D104,5)="VERDE"</formula>
    </cfRule>
    <cfRule type="expression" dxfId="6" priority="13">
      <formula>LEFT(D104,8)="AMARILLO"</formula>
    </cfRule>
    <cfRule type="expression" dxfId="5" priority="14">
      <formula>LEFT(D104,7)="NARANJA"</formula>
    </cfRule>
    <cfRule type="expression" dxfId="4" priority="15">
      <formula>LEFT(D104,4)="ROJO"</formula>
    </cfRule>
  </conditionalFormatting>
  <conditionalFormatting sqref="E106">
    <cfRule type="expression" dxfId="3" priority="16">
      <formula>LEFT(E106,5)="VERDE"</formula>
    </cfRule>
    <cfRule type="expression" dxfId="2" priority="17">
      <formula>LEFT(E106,8)="AMARILLO"</formula>
    </cfRule>
    <cfRule type="expression" dxfId="1" priority="18">
      <formula>LEFT(E106,7)="NARANJA"</formula>
    </cfRule>
    <cfRule type="expression" dxfId="0" priority="19">
      <formula>LEFT(E106,4)="ROJO"</formula>
    </cfRule>
  </conditionalFormatting>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5"/>
  <sheetViews>
    <sheetView showGridLines="0" tabSelected="1" topLeftCell="A11" zoomScaleNormal="100" workbookViewId="0">
      <selection sqref="A1:D1"/>
    </sheetView>
  </sheetViews>
  <sheetFormatPr baseColWidth="10" defaultColWidth="8.7109375" defaultRowHeight="15" x14ac:dyDescent="0.25"/>
  <cols>
    <col min="1" max="1" width="20" customWidth="1"/>
    <col min="2" max="2" width="42" customWidth="1"/>
    <col min="3" max="3" width="46" customWidth="1"/>
    <col min="4" max="4" width="42" customWidth="1"/>
  </cols>
  <sheetData>
    <row r="1" spans="1:4" ht="27.75" customHeight="1" x14ac:dyDescent="0.25">
      <c r="A1" s="14" t="s">
        <v>483</v>
      </c>
      <c r="B1" s="14"/>
      <c r="C1" s="14"/>
      <c r="D1" s="14"/>
    </row>
    <row r="3" spans="1:4" x14ac:dyDescent="0.25">
      <c r="A3" s="15" t="s">
        <v>446</v>
      </c>
      <c r="B3" s="15" t="s">
        <v>484</v>
      </c>
      <c r="C3" s="15" t="s">
        <v>288</v>
      </c>
      <c r="D3" s="15" t="s">
        <v>485</v>
      </c>
    </row>
    <row r="4" spans="1:4" ht="48" customHeight="1" x14ac:dyDescent="0.25">
      <c r="A4" s="43" t="s">
        <v>486</v>
      </c>
      <c r="B4" s="29" t="s">
        <v>487</v>
      </c>
      <c r="C4" s="29" t="s">
        <v>488</v>
      </c>
      <c r="D4" s="29" t="s">
        <v>489</v>
      </c>
    </row>
    <row r="5" spans="1:4" ht="48" customHeight="1" x14ac:dyDescent="0.25">
      <c r="A5" s="42" t="s">
        <v>490</v>
      </c>
      <c r="B5" s="38" t="s">
        <v>491</v>
      </c>
      <c r="C5" s="38" t="s">
        <v>492</v>
      </c>
      <c r="D5" s="38" t="s">
        <v>493</v>
      </c>
    </row>
    <row r="6" spans="1:4" ht="48" customHeight="1" x14ac:dyDescent="0.25">
      <c r="A6" s="43" t="s">
        <v>494</v>
      </c>
      <c r="B6" s="29" t="s">
        <v>495</v>
      </c>
      <c r="C6" s="29" t="s">
        <v>496</v>
      </c>
      <c r="D6" s="29" t="s">
        <v>497</v>
      </c>
    </row>
    <row r="7" spans="1:4" ht="48" customHeight="1" x14ac:dyDescent="0.25">
      <c r="A7" s="42" t="s">
        <v>498</v>
      </c>
      <c r="B7" s="38" t="s">
        <v>499</v>
      </c>
      <c r="C7" s="38" t="s">
        <v>500</v>
      </c>
      <c r="D7" s="38" t="s">
        <v>501</v>
      </c>
    </row>
    <row r="8" spans="1:4" ht="48" customHeight="1" x14ac:dyDescent="0.25">
      <c r="A8" s="43" t="s">
        <v>502</v>
      </c>
      <c r="B8" s="29" t="s">
        <v>503</v>
      </c>
      <c r="C8" s="29" t="s">
        <v>504</v>
      </c>
      <c r="D8" s="29" t="s">
        <v>505</v>
      </c>
    </row>
    <row r="9" spans="1:4" ht="48" customHeight="1" x14ac:dyDescent="0.25">
      <c r="A9" s="42" t="s">
        <v>255</v>
      </c>
      <c r="B9" s="38" t="s">
        <v>506</v>
      </c>
      <c r="C9" s="38" t="s">
        <v>507</v>
      </c>
      <c r="D9" s="38" t="s">
        <v>508</v>
      </c>
    </row>
    <row r="10" spans="1:4" ht="48" customHeight="1" x14ac:dyDescent="0.25">
      <c r="A10" s="43" t="s">
        <v>509</v>
      </c>
      <c r="B10" s="29" t="s">
        <v>506</v>
      </c>
      <c r="C10" s="29" t="s">
        <v>510</v>
      </c>
      <c r="D10" s="29" t="s">
        <v>511</v>
      </c>
    </row>
    <row r="13" spans="1:4" ht="15" customHeight="1" x14ac:dyDescent="0.25">
      <c r="A13" s="51" t="s">
        <v>512</v>
      </c>
      <c r="B13" s="51"/>
      <c r="C13" s="51"/>
      <c r="D13" s="51"/>
    </row>
    <row r="14" spans="1:4" ht="33.75" customHeight="1" x14ac:dyDescent="0.25">
      <c r="A14" s="32" t="s">
        <v>513</v>
      </c>
      <c r="B14" s="52" t="s">
        <v>514</v>
      </c>
      <c r="C14" s="52"/>
      <c r="D14" s="52"/>
    </row>
    <row r="15" spans="1:4" ht="63.75" customHeight="1" x14ac:dyDescent="0.25">
      <c r="A15" s="32" t="s">
        <v>515</v>
      </c>
      <c r="B15" s="52" t="s">
        <v>516</v>
      </c>
      <c r="C15" s="52"/>
      <c r="D15" s="52"/>
    </row>
    <row r="16" spans="1:4" ht="63.75" customHeight="1" x14ac:dyDescent="0.25">
      <c r="A16" s="32" t="s">
        <v>517</v>
      </c>
      <c r="B16" s="52" t="s">
        <v>518</v>
      </c>
      <c r="C16" s="52"/>
      <c r="D16" s="52"/>
    </row>
    <row r="17" spans="1:4" ht="63.75" customHeight="1" x14ac:dyDescent="0.25">
      <c r="A17" s="32" t="s">
        <v>519</v>
      </c>
      <c r="B17" s="52" t="s">
        <v>520</v>
      </c>
      <c r="C17" s="52"/>
      <c r="D17" s="52"/>
    </row>
    <row r="18" spans="1:4" ht="63.75" customHeight="1" x14ac:dyDescent="0.25">
      <c r="A18" s="32" t="s">
        <v>521</v>
      </c>
      <c r="B18" s="52" t="s">
        <v>522</v>
      </c>
      <c r="C18" s="52"/>
      <c r="D18" s="52"/>
    </row>
    <row r="20" spans="1:4" ht="15" customHeight="1" x14ac:dyDescent="0.25">
      <c r="A20" s="15" t="s">
        <v>523</v>
      </c>
      <c r="B20" s="53" t="s">
        <v>524</v>
      </c>
      <c r="C20" s="53"/>
      <c r="D20" s="53"/>
    </row>
    <row r="21" spans="1:4" ht="30" customHeight="1" x14ac:dyDescent="0.25">
      <c r="A21" s="43" t="s">
        <v>525</v>
      </c>
      <c r="B21" s="52" t="s">
        <v>526</v>
      </c>
      <c r="C21" s="52"/>
      <c r="D21" s="52"/>
    </row>
    <row r="22" spans="1:4" ht="30" customHeight="1" x14ac:dyDescent="0.25">
      <c r="A22" s="43" t="s">
        <v>527</v>
      </c>
      <c r="B22" s="52" t="s">
        <v>528</v>
      </c>
      <c r="C22" s="52"/>
      <c r="D22" s="52"/>
    </row>
    <row r="23" spans="1:4" ht="30" customHeight="1" x14ac:dyDescent="0.25">
      <c r="A23" s="43" t="s">
        <v>529</v>
      </c>
      <c r="B23" s="52" t="s">
        <v>530</v>
      </c>
      <c r="C23" s="52"/>
      <c r="D23" s="52"/>
    </row>
    <row r="24" spans="1:4" ht="30" customHeight="1" x14ac:dyDescent="0.25">
      <c r="A24" s="43" t="s">
        <v>531</v>
      </c>
      <c r="B24" s="52" t="s">
        <v>532</v>
      </c>
      <c r="C24" s="52"/>
      <c r="D24" s="52"/>
    </row>
    <row r="25" spans="1:4" ht="30" customHeight="1" x14ac:dyDescent="0.25">
      <c r="A25" s="43" t="s">
        <v>533</v>
      </c>
      <c r="B25" s="52" t="s">
        <v>534</v>
      </c>
      <c r="C25" s="52"/>
      <c r="D25" s="52"/>
    </row>
  </sheetData>
  <mergeCells count="13">
    <mergeCell ref="B23:D23"/>
    <mergeCell ref="B24:D24"/>
    <mergeCell ref="B25:D25"/>
    <mergeCell ref="B17:D17"/>
    <mergeCell ref="B18:D18"/>
    <mergeCell ref="B20:D20"/>
    <mergeCell ref="B21:D21"/>
    <mergeCell ref="B22:D22"/>
    <mergeCell ref="A1:D1"/>
    <mergeCell ref="A13:D13"/>
    <mergeCell ref="B14:D14"/>
    <mergeCell ref="B15:D15"/>
    <mergeCell ref="B16:D16"/>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Matriz</vt:lpstr>
      <vt:lpstr>Justificaciones</vt:lpstr>
      <vt:lpstr>Canvas SMART</vt:lpstr>
      <vt:lpstr>Checklist P1</vt:lpstr>
      <vt:lpstr>Refinamiento P1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vboxuser</cp:lastModifiedBy>
  <cp:revision>1</cp:revision>
  <dcterms:created xsi:type="dcterms:W3CDTF">2026-09-23T02:57:16Z</dcterms:created>
  <dcterms:modified xsi:type="dcterms:W3CDTF">2026-09-23T02:59:52Z</dcterms:modified>
  <dc:language>en-US</dc:language>
</cp:coreProperties>
</file>